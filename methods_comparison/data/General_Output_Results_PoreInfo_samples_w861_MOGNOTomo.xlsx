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2760" yWindow="32760" windowWidth="12225" windowHeight="13050" activeTab="3"/>
  </bookViews>
  <sheets>
    <sheet name="Plan1" sheetId="18" r:id="rId1"/>
    <sheet name="Detected_pores" sheetId="17" r:id="rId2"/>
    <sheet name="Mineral dual thresh" sheetId="16" r:id="rId3"/>
    <sheet name="Plots" sheetId="1" r:id="rId4"/>
    <sheet name="F2829V" sheetId="2" r:id="rId5"/>
    <sheet name="F2830H" sheetId="4" r:id="rId6"/>
    <sheet name="F2852H" sheetId="5" r:id="rId7"/>
    <sheet name="F2854H" sheetId="6" r:id="rId8"/>
    <sheet name="F2859H" sheetId="8" r:id="rId9"/>
    <sheet name="F2880H" sheetId="9" r:id="rId10"/>
    <sheet name="F2910H" sheetId="10" r:id="rId11"/>
    <sheet name="F2911V" sheetId="11" r:id="rId12"/>
    <sheet name="F2935H" sheetId="12" r:id="rId13"/>
    <sheet name="F2870H" sheetId="13" r:id="rId14"/>
  </sheets>
  <calcPr calcId="145621"/>
</workbook>
</file>

<file path=xl/calcChain.xml><?xml version="1.0" encoding="utf-8"?>
<calcChain xmlns="http://schemas.openxmlformats.org/spreadsheetml/2006/main">
  <c r="K7" i="18" l="1"/>
  <c r="K6" i="18"/>
  <c r="K5" i="18"/>
  <c r="J7" i="18"/>
  <c r="J6" i="18"/>
  <c r="J5" i="18"/>
  <c r="I7" i="18"/>
  <c r="I6" i="18"/>
  <c r="I5" i="18"/>
  <c r="H7" i="18"/>
  <c r="H6" i="18"/>
  <c r="H5" i="18"/>
  <c r="G7" i="18"/>
  <c r="G6" i="18"/>
  <c r="G5" i="18"/>
  <c r="F7" i="18"/>
  <c r="F6" i="18"/>
  <c r="F5" i="18"/>
  <c r="E7" i="18"/>
  <c r="E6" i="18"/>
  <c r="E5" i="18"/>
  <c r="D7" i="18"/>
  <c r="D6" i="18"/>
  <c r="D5" i="18"/>
  <c r="C7" i="18"/>
  <c r="C6" i="18"/>
  <c r="C5" i="18"/>
  <c r="B7" i="18"/>
  <c r="B6" i="18"/>
  <c r="B5" i="18"/>
  <c r="J22" i="16" l="1"/>
  <c r="J23" i="16"/>
  <c r="J24" i="16"/>
  <c r="J25" i="16"/>
  <c r="J26" i="16"/>
  <c r="J27" i="16"/>
  <c r="J28" i="16"/>
  <c r="J29" i="16"/>
  <c r="J30" i="16"/>
  <c r="J21" i="16"/>
  <c r="I22" i="16"/>
  <c r="I23" i="16"/>
  <c r="I24" i="16"/>
  <c r="I25" i="16"/>
  <c r="I26" i="16"/>
  <c r="I27" i="16"/>
  <c r="I28" i="16"/>
  <c r="I29" i="16"/>
  <c r="I30" i="16"/>
  <c r="I21" i="16"/>
  <c r="O13" i="1" l="1"/>
  <c r="O12" i="1"/>
  <c r="O9" i="1"/>
  <c r="C20" i="13" l="1"/>
  <c r="C19" i="13"/>
  <c r="C20" i="12"/>
  <c r="C19" i="12"/>
  <c r="C20" i="11"/>
  <c r="C19" i="11"/>
  <c r="C20" i="10"/>
  <c r="C19" i="10"/>
  <c r="C20" i="9"/>
  <c r="C19" i="9"/>
  <c r="C20" i="8"/>
  <c r="C19" i="8"/>
  <c r="C20" i="6"/>
  <c r="C19" i="6"/>
  <c r="C20" i="5"/>
  <c r="C19" i="5"/>
  <c r="C20" i="4"/>
  <c r="C19" i="4"/>
  <c r="C20" i="2"/>
  <c r="C19" i="2"/>
  <c r="T9" i="1"/>
  <c r="AH6" i="1" s="1"/>
  <c r="U9" i="1"/>
  <c r="AH7" i="1" s="1"/>
  <c r="V9" i="1"/>
  <c r="AH8" i="1" s="1"/>
  <c r="W9" i="1"/>
  <c r="AG9" i="1" s="1"/>
  <c r="X9" i="1"/>
  <c r="AG10" i="1" s="1"/>
  <c r="Y9" i="1"/>
  <c r="AG11" i="1" s="1"/>
  <c r="Z9" i="1"/>
  <c r="AG12" i="1" s="1"/>
  <c r="AA9" i="1"/>
  <c r="AG13" i="1" s="1"/>
  <c r="AB9" i="1"/>
  <c r="AH14" i="1" s="1"/>
  <c r="S9" i="1"/>
  <c r="AH5" i="1" s="1"/>
  <c r="G24" i="16"/>
  <c r="H24" i="16" s="1"/>
  <c r="E14" i="16"/>
  <c r="E15" i="16"/>
  <c r="F15" i="16"/>
  <c r="F11" i="16"/>
  <c r="F13" i="16" s="1"/>
  <c r="E11" i="16"/>
  <c r="E12" i="16" s="1"/>
  <c r="G11" i="16"/>
  <c r="G13" i="16" s="1"/>
  <c r="H11" i="16"/>
  <c r="H13" i="16" s="1"/>
  <c r="I11" i="16"/>
  <c r="I13" i="16" s="1"/>
  <c r="J11" i="16"/>
  <c r="J13" i="16" s="1"/>
  <c r="K11" i="16"/>
  <c r="K14" i="16" s="1"/>
  <c r="L11" i="16"/>
  <c r="L14" i="16" s="1"/>
  <c r="M11" i="16"/>
  <c r="M14" i="16" s="1"/>
  <c r="D11" i="16"/>
  <c r="D15" i="16" s="1"/>
  <c r="E7" i="16"/>
  <c r="F7" i="16"/>
  <c r="G7" i="16"/>
  <c r="H7" i="16"/>
  <c r="I7" i="16"/>
  <c r="J7" i="16"/>
  <c r="K7" i="16"/>
  <c r="L7" i="16"/>
  <c r="M7" i="16"/>
  <c r="D7" i="16"/>
  <c r="F22" i="16"/>
  <c r="G22" i="16" s="1"/>
  <c r="H22" i="16" s="1"/>
  <c r="F23" i="16"/>
  <c r="G23" i="16" s="1"/>
  <c r="H23" i="16" s="1"/>
  <c r="F24" i="16"/>
  <c r="F25" i="16"/>
  <c r="G25" i="16" s="1"/>
  <c r="H25" i="16" s="1"/>
  <c r="F26" i="16"/>
  <c r="G26" i="16" s="1"/>
  <c r="H26" i="16" s="1"/>
  <c r="F27" i="16"/>
  <c r="G27" i="16" s="1"/>
  <c r="H27" i="16" s="1"/>
  <c r="F28" i="16"/>
  <c r="F29" i="16"/>
  <c r="F30" i="16"/>
  <c r="F21" i="16"/>
  <c r="G21" i="16" s="1"/>
  <c r="H21" i="16" s="1"/>
  <c r="D14" i="16" l="1"/>
  <c r="M13" i="16"/>
  <c r="Z5" i="16" s="1"/>
  <c r="D13" i="16"/>
  <c r="E13" i="16"/>
  <c r="R5" i="16" s="1"/>
  <c r="D12" i="16"/>
  <c r="F12" i="16"/>
  <c r="S5" i="16" s="1"/>
  <c r="J14" i="16"/>
  <c r="I14" i="16"/>
  <c r="F14" i="16"/>
  <c r="AG5" i="1"/>
  <c r="M12" i="16"/>
  <c r="Z4" i="16" s="1"/>
  <c r="L15" i="16"/>
  <c r="H14" i="16"/>
  <c r="L12" i="16"/>
  <c r="K15" i="16"/>
  <c r="G14" i="16"/>
  <c r="K12" i="16"/>
  <c r="AG6" i="1"/>
  <c r="J12" i="16"/>
  <c r="AF5" i="1"/>
  <c r="AF6" i="1"/>
  <c r="H15" i="16"/>
  <c r="L13" i="16"/>
  <c r="Y6" i="16" s="1"/>
  <c r="H12" i="16"/>
  <c r="U4" i="16" s="1"/>
  <c r="AF7" i="1"/>
  <c r="AF8" i="1"/>
  <c r="AF9" i="1"/>
  <c r="AF10" i="1"/>
  <c r="AF11" i="1"/>
  <c r="J15" i="16"/>
  <c r="I15" i="16"/>
  <c r="I12" i="16"/>
  <c r="V4" i="16" s="1"/>
  <c r="G15" i="16"/>
  <c r="K13" i="16"/>
  <c r="G12" i="16"/>
  <c r="T5" i="16" s="1"/>
  <c r="M15" i="16"/>
  <c r="AF12" i="1"/>
  <c r="AF13" i="1"/>
  <c r="AF14" i="1"/>
  <c r="AG7" i="1"/>
  <c r="AG8" i="1"/>
  <c r="AH9" i="1"/>
  <c r="AH10" i="1"/>
  <c r="AH11" i="1"/>
  <c r="AH12" i="1"/>
  <c r="AH13" i="1"/>
  <c r="AG14" i="1"/>
  <c r="S4" i="16" l="1"/>
  <c r="Q4" i="16"/>
  <c r="W4" i="16"/>
  <c r="U5" i="16"/>
  <c r="T6" i="16"/>
  <c r="Z6" i="16"/>
  <c r="Z7" i="16" s="1"/>
  <c r="R4" i="16"/>
  <c r="R7" i="16" s="1"/>
  <c r="Q5" i="16"/>
  <c r="Q7" i="16" s="1"/>
  <c r="S6" i="16"/>
  <c r="U6" i="16"/>
  <c r="U7" i="16" s="1"/>
  <c r="Q6" i="16"/>
  <c r="X4" i="16"/>
  <c r="R6" i="16"/>
  <c r="Y4" i="16"/>
  <c r="V5" i="16"/>
  <c r="T4" i="16"/>
  <c r="W6" i="16"/>
  <c r="Y5" i="16"/>
  <c r="V6" i="16"/>
  <c r="X6" i="16"/>
  <c r="Y7" i="16"/>
  <c r="X5" i="16"/>
  <c r="W5" i="16"/>
  <c r="J5" i="17"/>
  <c r="Q16" i="17"/>
  <c r="Q15" i="17"/>
  <c r="Q13" i="17"/>
  <c r="Q14" i="17" s="1"/>
  <c r="Q12" i="17"/>
  <c r="Q17" i="17"/>
  <c r="Y23" i="17"/>
  <c r="Y21" i="17"/>
  <c r="Y20" i="17"/>
  <c r="X24" i="17"/>
  <c r="X23" i="17"/>
  <c r="X21" i="17"/>
  <c r="X20" i="17"/>
  <c r="W24" i="17"/>
  <c r="W25" i="17" s="1"/>
  <c r="W23" i="17"/>
  <c r="W21" i="17"/>
  <c r="W20" i="17"/>
  <c r="V24" i="17"/>
  <c r="V25" i="17" s="1"/>
  <c r="V23" i="17"/>
  <c r="V21" i="17"/>
  <c r="V20" i="17"/>
  <c r="U24" i="17"/>
  <c r="U25" i="17" s="1"/>
  <c r="U23" i="17"/>
  <c r="U21" i="17"/>
  <c r="U20" i="17"/>
  <c r="T24" i="17"/>
  <c r="T25" i="17" s="1"/>
  <c r="T23" i="17"/>
  <c r="T21" i="17"/>
  <c r="T22" i="17" s="1"/>
  <c r="T20" i="17"/>
  <c r="S24" i="17"/>
  <c r="S25" i="17" s="1"/>
  <c r="S23" i="17"/>
  <c r="S21" i="17"/>
  <c r="S22" i="17" s="1"/>
  <c r="S20" i="17"/>
  <c r="R24" i="17"/>
  <c r="R23" i="17"/>
  <c r="R21" i="17"/>
  <c r="R20" i="17"/>
  <c r="R22" i="17"/>
  <c r="V22" i="17"/>
  <c r="U22" i="17"/>
  <c r="W22" i="17"/>
  <c r="X22" i="17"/>
  <c r="Y22" i="17"/>
  <c r="R25" i="17"/>
  <c r="Y24" i="17"/>
  <c r="X25" i="17"/>
  <c r="Y25" i="17"/>
  <c r="Q24" i="17"/>
  <c r="Q25" i="17" s="1"/>
  <c r="Q23" i="17"/>
  <c r="Z23" i="17" s="1"/>
  <c r="Q21" i="17"/>
  <c r="Z21" i="17" s="1"/>
  <c r="Q20" i="17"/>
  <c r="Z20" i="17" s="1"/>
  <c r="T7" i="16" l="1"/>
  <c r="V7" i="16"/>
  <c r="W7" i="16"/>
  <c r="S7" i="16"/>
  <c r="X7" i="16"/>
  <c r="Z25" i="17"/>
  <c r="Z24" i="17"/>
  <c r="Q22" i="17" l="1"/>
  <c r="Z22" i="17" s="1"/>
  <c r="Q11" i="17"/>
  <c r="Y19" i="17"/>
  <c r="X19" i="17"/>
  <c r="W19" i="17"/>
  <c r="V19" i="17"/>
  <c r="U19" i="17"/>
  <c r="T19" i="17"/>
  <c r="S19" i="17"/>
  <c r="R19" i="17"/>
  <c r="Q19" i="17"/>
  <c r="Z17" i="17"/>
  <c r="Z16" i="17"/>
  <c r="C16" i="17"/>
  <c r="Z15" i="17"/>
  <c r="C15" i="17"/>
  <c r="Z14" i="17"/>
  <c r="C14" i="17"/>
  <c r="Z13" i="17"/>
  <c r="Z12" i="17"/>
  <c r="Z9" i="17"/>
  <c r="Z8" i="17"/>
  <c r="E8" i="17"/>
  <c r="E10" i="17" s="1"/>
  <c r="D8" i="17"/>
  <c r="D10" i="17" s="1"/>
  <c r="C8" i="17"/>
  <c r="C10" i="17" s="1"/>
  <c r="Z7" i="17"/>
  <c r="Z6" i="17"/>
  <c r="J6" i="17"/>
  <c r="Z5" i="17"/>
  <c r="Z4" i="17"/>
  <c r="E4" i="17"/>
  <c r="E6" i="17" s="1"/>
  <c r="D4" i="17"/>
  <c r="D5" i="17" s="1"/>
  <c r="C4" i="17"/>
  <c r="C5" i="17" s="1"/>
  <c r="G31" i="16"/>
  <c r="G30" i="16"/>
  <c r="H30" i="16" s="1"/>
  <c r="G29" i="16"/>
  <c r="H29" i="16" s="1"/>
  <c r="G28" i="16"/>
  <c r="H28" i="16" s="1"/>
  <c r="D6" i="17" l="1"/>
  <c r="C6" i="17"/>
  <c r="C9" i="17"/>
  <c r="E5" i="17"/>
  <c r="D9" i="17"/>
  <c r="E9" i="17"/>
  <c r="AE14" i="1" l="1"/>
  <c r="AD14" i="1"/>
  <c r="AB11" i="1"/>
  <c r="AB13" i="1" s="1"/>
  <c r="AB8" i="1"/>
  <c r="AB6" i="1"/>
  <c r="AB5" i="1"/>
  <c r="AB7" i="1"/>
  <c r="AB14" i="1"/>
  <c r="AB15" i="1"/>
  <c r="AB16" i="1"/>
  <c r="AB17" i="1"/>
  <c r="AB18" i="1"/>
  <c r="AB19" i="1" s="1"/>
  <c r="AB4" i="1"/>
  <c r="P13" i="1"/>
  <c r="P12" i="1"/>
  <c r="P11" i="1"/>
  <c r="P10" i="1"/>
  <c r="P9" i="1"/>
  <c r="AB12" i="1" l="1"/>
  <c r="AD13" i="1"/>
  <c r="AD12" i="1"/>
  <c r="AD11" i="1"/>
  <c r="AD10" i="1"/>
  <c r="AD9" i="1"/>
  <c r="AD8" i="1"/>
  <c r="AD7" i="1"/>
  <c r="AD6" i="1"/>
  <c r="AD5" i="1"/>
  <c r="X16" i="1"/>
  <c r="Y16" i="1"/>
  <c r="Z16" i="1"/>
  <c r="X17" i="1"/>
  <c r="Y17" i="1"/>
  <c r="Z17" i="1"/>
  <c r="AA17" i="1"/>
  <c r="X18" i="1"/>
  <c r="Y18" i="1"/>
  <c r="Z18" i="1"/>
  <c r="AA18" i="1"/>
  <c r="X19" i="1"/>
  <c r="Y19" i="1"/>
  <c r="Z19" i="1"/>
  <c r="AA19" i="1"/>
  <c r="AA15" i="1"/>
  <c r="AA16" i="1" s="1"/>
  <c r="Z15" i="1"/>
  <c r="Y15" i="1"/>
  <c r="X15" i="1"/>
  <c r="AA14" i="1"/>
  <c r="Z14" i="1"/>
  <c r="Y14" i="1"/>
  <c r="X14" i="1"/>
  <c r="X12" i="1"/>
  <c r="AA11" i="1"/>
  <c r="AA13" i="1" s="1"/>
  <c r="AA12" i="1"/>
  <c r="Z12" i="1"/>
  <c r="Y12" i="1"/>
  <c r="X11" i="1"/>
  <c r="X13" i="1" s="1"/>
  <c r="AA8" i="1"/>
  <c r="Z8" i="1"/>
  <c r="Y8" i="1"/>
  <c r="X8" i="1"/>
  <c r="AA7" i="1"/>
  <c r="Z7" i="1"/>
  <c r="Y7" i="1"/>
  <c r="X7" i="1"/>
  <c r="AA6" i="1"/>
  <c r="Z6" i="1"/>
  <c r="Y6" i="1"/>
  <c r="X6" i="1"/>
  <c r="AA5" i="1"/>
  <c r="Z5" i="1"/>
  <c r="Y5" i="1"/>
  <c r="X5" i="1"/>
  <c r="AA4" i="1"/>
  <c r="Z4" i="1"/>
  <c r="Y4" i="1"/>
  <c r="X4" i="1"/>
  <c r="O11" i="1"/>
  <c r="O10" i="1"/>
  <c r="Z11" i="1" l="1"/>
  <c r="Z13" i="1" s="1"/>
  <c r="Y11" i="1"/>
  <c r="Y13" i="1" s="1"/>
  <c r="W18" i="1"/>
  <c r="W19" i="1" s="1"/>
  <c r="V18" i="1"/>
  <c r="V19" i="1" s="1"/>
  <c r="U18" i="1"/>
  <c r="U19" i="1" s="1"/>
  <c r="T18" i="1"/>
  <c r="T19" i="1" s="1"/>
  <c r="S18" i="1"/>
  <c r="S19" i="1" s="1"/>
  <c r="W17" i="1"/>
  <c r="V17" i="1"/>
  <c r="U17" i="1"/>
  <c r="T17" i="1"/>
  <c r="W15" i="1"/>
  <c r="W16" i="1" s="1"/>
  <c r="V15" i="1"/>
  <c r="V16" i="1" s="1"/>
  <c r="U15" i="1"/>
  <c r="U16" i="1" s="1"/>
  <c r="T15" i="1"/>
  <c r="T16" i="1" s="1"/>
  <c r="S15" i="1"/>
  <c r="S16" i="1" s="1"/>
  <c r="W14" i="1"/>
  <c r="V14" i="1"/>
  <c r="U14" i="1"/>
  <c r="T14" i="1"/>
  <c r="S17" i="1"/>
  <c r="S14" i="1"/>
  <c r="W5" i="1" l="1"/>
  <c r="V5" i="1"/>
  <c r="U5" i="1"/>
  <c r="P4" i="1"/>
  <c r="T8" i="1" l="1"/>
  <c r="W8" i="1"/>
  <c r="W7" i="1"/>
  <c r="W6" i="1"/>
  <c r="V8" i="1"/>
  <c r="V7" i="1"/>
  <c r="V6" i="1"/>
  <c r="U8" i="1"/>
  <c r="U7" i="1"/>
  <c r="U6" i="1"/>
  <c r="T7" i="1"/>
  <c r="T6" i="1"/>
  <c r="T5" i="1"/>
  <c r="T4" i="1"/>
  <c r="W4" i="1"/>
  <c r="S6" i="1"/>
  <c r="V4" i="1"/>
  <c r="U4" i="1"/>
  <c r="S8" i="1"/>
  <c r="S7" i="1"/>
  <c r="S5" i="1"/>
  <c r="S4" i="1"/>
  <c r="O8" i="1"/>
  <c r="O7" i="1"/>
  <c r="O6" i="1"/>
  <c r="P8" i="1"/>
  <c r="P7" i="1"/>
  <c r="P6" i="1"/>
  <c r="P5" i="1"/>
  <c r="O5" i="1"/>
  <c r="O4" i="1"/>
  <c r="W12" i="1" l="1"/>
  <c r="W11" i="1"/>
  <c r="W13" i="1" s="1"/>
  <c r="V12" i="1"/>
  <c r="V11" i="1"/>
  <c r="V13" i="1" s="1"/>
  <c r="U12" i="1"/>
  <c r="U11" i="1"/>
  <c r="U13" i="1" s="1"/>
  <c r="T12" i="1"/>
  <c r="T11" i="1"/>
  <c r="T13" i="1" s="1"/>
  <c r="S12" i="1"/>
  <c r="S11" i="1"/>
  <c r="S13" i="1" s="1"/>
</calcChain>
</file>

<file path=xl/comments1.xml><?xml version="1.0" encoding="utf-8"?>
<comments xmlns="http://schemas.openxmlformats.org/spreadsheetml/2006/main">
  <authors>
    <author>Irineu</author>
  </authors>
  <commentList>
    <comment ref="C7" authorId="0">
      <text>
        <r>
          <rPr>
            <b/>
            <sz val="9"/>
            <color indexed="81"/>
            <rFont val="Tahoma"/>
            <family val="2"/>
          </rPr>
          <t>Irineu:</t>
        </r>
        <r>
          <rPr>
            <sz val="9"/>
            <color indexed="81"/>
            <rFont val="Tahoma"/>
            <family val="2"/>
          </rPr>
          <t xml:space="preserve">
Tem que corrigir o volume de interesse para desconsiderar a parte exterior do plugue (undefined) no volume total!
</t>
        </r>
      </text>
    </comment>
  </commentList>
</comments>
</file>

<file path=xl/sharedStrings.xml><?xml version="1.0" encoding="utf-8"?>
<sst xmlns="http://schemas.openxmlformats.org/spreadsheetml/2006/main" count="1093" uniqueCount="208">
  <si>
    <t>LOCAL PORE PARAMETERS</t>
  </si>
  <si>
    <t>Pixel resolution (microns)</t>
  </si>
  <si>
    <t>Minimum pixel quantity for pore area</t>
  </si>
  <si>
    <t>Pore area resolution (microns^2)</t>
  </si>
  <si>
    <t>Minor pore area (microns^2)</t>
  </si>
  <si>
    <t>Maximum pore area (microns^2)</t>
  </si>
  <si>
    <t>Mean pore area (microns^2)</t>
  </si>
  <si>
    <t>Minor pore diameter (microns)</t>
  </si>
  <si>
    <t>Maximum pore diameter (microns)</t>
  </si>
  <si>
    <t>Mean pore diameter (microns)</t>
  </si>
  <si>
    <t>Minor pore radius (microns)</t>
  </si>
  <si>
    <t>Maximum pore radius (microns)</t>
  </si>
  <si>
    <t>Mean pore radius (microns)</t>
  </si>
  <si>
    <t>Minor pore perimeter (microns)</t>
  </si>
  <si>
    <t>Maximum pore perimeter (microns)</t>
  </si>
  <si>
    <t>Mean pore perimeter (microns)</t>
  </si>
  <si>
    <t>Porosity (%)</t>
  </si>
  <si>
    <t>Microcroporosity (%) (Anselmetti et al., 1998)</t>
  </si>
  <si>
    <t>Macro-mesoporosity (%) (Anselmetti et al., 1998)</t>
  </si>
  <si>
    <t>Mean Pore area Microporosity (microns^2)(Anselmetti et al., 1998)</t>
  </si>
  <si>
    <t>Mean Pore area Macro-mesoporosity (microns^2) (Anselmetti et al., 1998)</t>
  </si>
  <si>
    <t>Mean Pore perimeter Microporosity (microns) (Anselmetti et al., 1998)</t>
  </si>
  <si>
    <t>Mean Pore perimeter Macro-mesoporosity (microns) (Anselmetti et al., 1998)</t>
  </si>
  <si>
    <t>Mean Pore radius Microporosity(microns) (Anselmetti et al., 1998)</t>
  </si>
  <si>
    <t>Mean Pore radius Macro-mesoporosity(microns) (Anselmetti et al., 1998)</t>
  </si>
  <si>
    <t>Mean Gamma</t>
  </si>
  <si>
    <t>Mean Gamma Microporosity (Anselmetti et al., 1998)</t>
  </si>
  <si>
    <t>Mean Gamma Macro-mesoporosity (Anselmetti et al., 1998)</t>
  </si>
  <si>
    <t>Mean Fps (microns^-1) (equal to gamma^2)</t>
  </si>
  <si>
    <t>Mean Fps Microporosity (microns^-1) (Anselmetti et al., 1998) (microns^-1)</t>
  </si>
  <si>
    <t>Mean Fps Macro-mesoporosity (microns^-1) (Anselmetti et al., 1998) (microns^-1)</t>
  </si>
  <si>
    <t>Specific pore surface (mean) (microns^-1)</t>
  </si>
  <si>
    <t>Specific Pore surface Microporosity (microns^-1)</t>
  </si>
  <si>
    <t>Specific Pore surface Macro-mesoporosity (microns^-1)</t>
  </si>
  <si>
    <t>Total Specific pore-Surface Area (microns^2)</t>
  </si>
  <si>
    <t>Mean Specific Surface Area (microns^-1) (Tiab and Donaldson, 2004)</t>
  </si>
  <si>
    <t>Permeability (Kozeny) (mD)</t>
  </si>
  <si>
    <t>Permeability (Kozeny-Carman) (mD)</t>
  </si>
  <si>
    <t>Porosity area occurence (Anselmetti et al., 1998):</t>
  </si>
  <si>
    <t>%</t>
  </si>
  <si>
    <t>&lt;0.5</t>
  </si>
  <si>
    <t>0.5:5</t>
  </si>
  <si>
    <t>5:5E1</t>
  </si>
  <si>
    <t>5E1:5E2</t>
  </si>
  <si>
    <t>5E2:5E3</t>
  </si>
  <si>
    <t>5E3:5E4</t>
  </si>
  <si>
    <t>&gt;5E4</t>
  </si>
  <si>
    <t>Mean Aspect Ratio</t>
  </si>
  <si>
    <t>Median Aspect Ratio</t>
  </si>
  <si>
    <t>FREQ.(%)- OBLATE PORE ASPECT RATIO</t>
  </si>
  <si>
    <t>Aspect ratio:</t>
  </si>
  <si>
    <t>0-0.1</t>
  </si>
  <si>
    <t>0.1-0.2</t>
  </si>
  <si>
    <t>0.2-0.3</t>
  </si>
  <si>
    <t>0.3-0.4</t>
  </si>
  <si>
    <t>0.4-0.5</t>
  </si>
  <si>
    <t>0.5-0.6</t>
  </si>
  <si>
    <t>0.6-0.7</t>
  </si>
  <si>
    <t>0.7-0.8</t>
  </si>
  <si>
    <t>0.8-0.9</t>
  </si>
  <si>
    <t>0.9-1.0</t>
  </si>
  <si>
    <t>Mean aspect ratio</t>
  </si>
  <si>
    <t>Mean Fps (microns^-1)</t>
  </si>
  <si>
    <t>GLOBAL PORE PARAMETERS</t>
  </si>
  <si>
    <t xml:space="preserve">Global-Minimum pixel quantity for pore area: </t>
  </si>
  <si>
    <t xml:space="preserve">Global-Pore area resolution (microns^2): </t>
  </si>
  <si>
    <t xml:space="preserve">Global-Perimeter over Area (mm^-1): </t>
  </si>
  <si>
    <t xml:space="preserve">Global-DomSize (microns): </t>
  </si>
  <si>
    <t xml:space="preserve">Global-Specific Pore Surface Area (mm^-1): </t>
  </si>
  <si>
    <t>INPUT FILE(S) OF ANALYSIS:</t>
  </si>
  <si>
    <t>Sample</t>
  </si>
  <si>
    <t>Pore Aspect Ratio</t>
  </si>
  <si>
    <t>Mean (average)</t>
  </si>
  <si>
    <r>
      <t xml:space="preserve">Porosity </t>
    </r>
    <r>
      <rPr>
        <b/>
        <sz val="11"/>
        <color theme="1"/>
        <rFont val="Calibri"/>
        <family val="2"/>
        <scheme val="minor"/>
      </rPr>
      <t>occurence (%) (Anselmetti et al., 1998):</t>
    </r>
  </si>
  <si>
    <t>5E2:5E3 (µm²)</t>
  </si>
  <si>
    <t>5E3:5E4 (µm²)</t>
  </si>
  <si>
    <t>&gt; 5E4 (µm²)</t>
  </si>
  <si>
    <t>Difference (%)</t>
  </si>
  <si>
    <t>&lt; 5E2 (µm²) -&gt; micropore</t>
  </si>
  <si>
    <t>Fraction Macro-meso (0-1)</t>
  </si>
  <si>
    <t>Fraction Micro (0-1)</t>
  </si>
  <si>
    <t>Diff. Lab and DIA</t>
  </si>
  <si>
    <t>Corrected</t>
  </si>
  <si>
    <t>Image Porosity (%)</t>
  </si>
  <si>
    <t>Ambient</t>
  </si>
  <si>
    <t>Macro-meso</t>
  </si>
  <si>
    <t>Micro</t>
  </si>
  <si>
    <t>5.5 MPa</t>
  </si>
  <si>
    <t>8.3 MPa</t>
  </si>
  <si>
    <t>11 MPa</t>
  </si>
  <si>
    <t>13.8 MPa</t>
  </si>
  <si>
    <t>16.5 MPa</t>
  </si>
  <si>
    <t>19.3 MPa</t>
  </si>
  <si>
    <t>22.1 MPa</t>
  </si>
  <si>
    <t>Micro CT (sample ~2.5 mm in diameter)</t>
  </si>
  <si>
    <t>Detected Minimun pore area (µm²)</t>
  </si>
  <si>
    <t>Detected Maximun pore area (µm²)</t>
  </si>
  <si>
    <t>Detected Maximun pore area (mm²)</t>
  </si>
  <si>
    <t>Detected Minimun pore diameter (µm)</t>
  </si>
  <si>
    <t>Detected Maximun pore diameter (µm)</t>
  </si>
  <si>
    <t>Detected Maximun pore diameter (mm)</t>
  </si>
  <si>
    <t>F2829V</t>
  </si>
  <si>
    <t>Results_PoreInfo_scale_in_voxel_F2829V.csv</t>
  </si>
  <si>
    <t>F2830H</t>
  </si>
  <si>
    <t>Results_PoreInfo_scale_in_voxel_F2830H.csv</t>
  </si>
  <si>
    <t>F2852H</t>
  </si>
  <si>
    <t>Results_PoreInfo_scale_in_voxel_F2852H.csv</t>
  </si>
  <si>
    <t>F2854H</t>
  </si>
  <si>
    <t>Results_PoreInfo_scale_in_voxel_F2854H.csv</t>
  </si>
  <si>
    <t>F2859H</t>
  </si>
  <si>
    <t>Results_PoreInfo_scale_in_voxel_F2859H.csv</t>
  </si>
  <si>
    <t>Results_PoreInfo_scale_in_voxel_F2880H.csv</t>
  </si>
  <si>
    <t>F2880H</t>
  </si>
  <si>
    <t>F2910H</t>
  </si>
  <si>
    <t>Results_PoreInfo_scale_in_voxel_F2910H.csv</t>
  </si>
  <si>
    <t>F2911V</t>
  </si>
  <si>
    <t>Results_PoreInfo_scale_in_voxel_F2911V.csv</t>
  </si>
  <si>
    <t>F2935H</t>
  </si>
  <si>
    <t>Results_PoreInfo_scale_in_voxel_F2935H.csv</t>
  </si>
  <si>
    <t>Depth</t>
  </si>
  <si>
    <t xml:space="preserve">UltraPore Porosity (%) </t>
  </si>
  <si>
    <t>Not measured.</t>
  </si>
  <si>
    <t>Results_PoreInfo_scale_in_voxel_F2870H.csv</t>
  </si>
  <si>
    <t>F2870H(6mm)</t>
  </si>
  <si>
    <r>
      <t xml:space="preserve">2D pore geometry and resolution - </t>
    </r>
    <r>
      <rPr>
        <b/>
        <sz val="11"/>
        <color rgb="FFFF0000"/>
        <rFont val="Calibri"/>
        <family val="2"/>
        <scheme val="minor"/>
      </rPr>
      <t>circunference approximation</t>
    </r>
  </si>
  <si>
    <t>CT- resolutions for specimen in diameter:</t>
  </si>
  <si>
    <t>~38 mm</t>
  </si>
  <si>
    <t>~6 mm</t>
  </si>
  <si>
    <t>~2.5 mm</t>
  </si>
  <si>
    <t>Micropores - Anselmetti et al. (1998), area &lt; 500 µm²</t>
  </si>
  <si>
    <t>Minimum pixel (voxel) quantity for pore area</t>
  </si>
  <si>
    <t>Circunference approximation</t>
  </si>
  <si>
    <t>Micro CT (sample ~38 mm in diameter)</t>
  </si>
  <si>
    <t>Most significance</t>
  </si>
  <si>
    <t>Minimun pore area (pixel)</t>
  </si>
  <si>
    <t>Minimun pore area (µm²)</t>
  </si>
  <si>
    <t>Minimun pore diameter (pixel)</t>
  </si>
  <si>
    <t>Minimun pore diameter (µm)</t>
  </si>
  <si>
    <t>Minimun pore radius (pixel)</t>
  </si>
  <si>
    <t>Minimun pore radius (µm)</t>
  </si>
  <si>
    <r>
      <t>Pixel (voxel) resolution (</t>
    </r>
    <r>
      <rPr>
        <sz val="11"/>
        <color rgb="FFFF0000"/>
        <rFont val="Calibri"/>
        <family val="2"/>
      </rPr>
      <t>µm</t>
    </r>
    <r>
      <rPr>
        <sz val="11"/>
        <color rgb="FFFF0000"/>
        <rFont val="Calibri"/>
        <family val="2"/>
        <scheme val="minor"/>
      </rPr>
      <t>)</t>
    </r>
  </si>
  <si>
    <t>Micro CT (sample ~6 mm in diameter)</t>
  </si>
  <si>
    <t>mm</t>
  </si>
  <si>
    <t>microns</t>
  </si>
  <si>
    <t>Legend:</t>
  </si>
  <si>
    <t>Phase</t>
  </si>
  <si>
    <t>Pore (%)</t>
  </si>
  <si>
    <t>Solid 1 (%)</t>
  </si>
  <si>
    <t>Solid 2 (%)</t>
  </si>
  <si>
    <t>Mineralogy (%) and supposed gray scale</t>
  </si>
  <si>
    <t>XRD and Rietveld Method</t>
  </si>
  <si>
    <t>Supposed occurrence</t>
  </si>
  <si>
    <t>Calcite</t>
  </si>
  <si>
    <t>Dolomite</t>
  </si>
  <si>
    <t>Quartz</t>
  </si>
  <si>
    <t>Quartz (Solid 1)</t>
  </si>
  <si>
    <t>Calcite + Dolomite (Solid 2)</t>
  </si>
  <si>
    <t>Mineral density (g/cc):</t>
  </si>
  <si>
    <t>2.71-2.87</t>
  </si>
  <si>
    <t xml:space="preserve"> - Dry pore (air): 0.00119 g/cc. </t>
  </si>
  <si>
    <t>* 8 bit Gray level is supposed to be related to the phase density:</t>
  </si>
  <si>
    <t xml:space="preserve"> - Quartz (Terrigenous)</t>
  </si>
  <si>
    <t xml:space="preserve"> - Calcite + Dolomite (Carbonate)</t>
  </si>
  <si>
    <t>* Mineral and air densities from Mavko et al. (2009).</t>
  </si>
  <si>
    <t>Undefined (%)</t>
  </si>
  <si>
    <t>NX (mm)</t>
  </si>
  <si>
    <t>NY (mm)</t>
  </si>
  <si>
    <t>NZ (mm)</t>
  </si>
  <si>
    <t>Domain Vol (mm³)</t>
  </si>
  <si>
    <t>Pore (mm³)</t>
  </si>
  <si>
    <t>Solid 1 (mm³)</t>
  </si>
  <si>
    <t>Undefined (mm³)</t>
  </si>
  <si>
    <t>Solid 2 (mm³)</t>
  </si>
  <si>
    <t>Multi Threshold (dual) - CT specimen Well 861</t>
  </si>
  <si>
    <t>GeoDict</t>
  </si>
  <si>
    <t>Volume Corrected</t>
  </si>
  <si>
    <t>Sum (%)</t>
  </si>
  <si>
    <t>Original</t>
  </si>
  <si>
    <t>Micro CT - Well 861</t>
  </si>
  <si>
    <t>TOMO Image Porosity (%) - volume corrected</t>
  </si>
  <si>
    <t>Fraction:</t>
  </si>
  <si>
    <t>MicroCT</t>
  </si>
  <si>
    <t>Packstone</t>
  </si>
  <si>
    <t>Grainstone</t>
  </si>
  <si>
    <t>Spherulistone</t>
  </si>
  <si>
    <t>Shrubby spherulitestone</t>
  </si>
  <si>
    <t>spherulitestone</t>
  </si>
  <si>
    <t>Spherulitic shrubstone</t>
  </si>
  <si>
    <t>Texture (LENEP)</t>
  </si>
  <si>
    <t xml:space="preserve">Texture (ANP Petrobras) </t>
  </si>
  <si>
    <t>Grainstone/Rudstone</t>
  </si>
  <si>
    <t>Shrubs</t>
  </si>
  <si>
    <t>Shrubs/Rudstone</t>
  </si>
  <si>
    <t>Shrubs/Grainstone</t>
  </si>
  <si>
    <t>Laminite/Grainstone</t>
  </si>
  <si>
    <t>Spherulitestone/Grainstone</t>
  </si>
  <si>
    <t>Grainstone/Shrubs</t>
  </si>
  <si>
    <t>Test 1</t>
  </si>
  <si>
    <t>Test 2</t>
  </si>
  <si>
    <t>Quartz + Calcite (Solid 1)</t>
  </si>
  <si>
    <t>Dolomite (Solid 2)</t>
  </si>
  <si>
    <t>2.65-2.71</t>
  </si>
  <si>
    <t>Lab Porosity (ambient-Ultrapore) (%)</t>
  </si>
  <si>
    <t>Meso-macopores (v/v)</t>
  </si>
  <si>
    <t xml:space="preserve">Aspect ratio Meso-macopores </t>
  </si>
  <si>
    <t>Micropores (v/v)</t>
  </si>
  <si>
    <t xml:space="preserve">Aspect ratio Micropores 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</si>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</sst>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0.0"/>
    <numFmt numFmtId="166" formatCode="0.0000"/>
    <numFmt numFmtId="167" formatCode="0.00000"/>
    <numFmt numFmtId="168" formatCode="0.000000"/>
  </numFmts>
  <fonts count="3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.5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3499862666707357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0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7" borderId="0" applyNumberFormat="0" applyBorder="0" applyAlignment="0" applyProtection="0"/>
    <xf numFmtId="0" fontId="11" fillId="8" borderId="0" applyNumberFormat="0" applyBorder="0" applyAlignment="0" applyProtection="0"/>
    <xf numFmtId="0" fontId="12" fillId="9" borderId="0" applyNumberFormat="0" applyBorder="0" applyAlignment="0" applyProtection="0"/>
    <xf numFmtId="0" fontId="13" fillId="10" borderId="5" applyNumberFormat="0" applyAlignment="0" applyProtection="0"/>
    <xf numFmtId="0" fontId="14" fillId="11" borderId="6" applyNumberFormat="0" applyAlignment="0" applyProtection="0"/>
    <xf numFmtId="0" fontId="15" fillId="11" borderId="5" applyNumberFormat="0" applyAlignment="0" applyProtection="0"/>
    <xf numFmtId="0" fontId="16" fillId="0" borderId="7" applyNumberFormat="0" applyFill="0" applyAlignment="0" applyProtection="0"/>
    <xf numFmtId="0" fontId="17" fillId="12" borderId="8" applyNumberFormat="0" applyAlignment="0" applyProtection="0"/>
    <xf numFmtId="0" fontId="1" fillId="0" borderId="0" applyNumberFormat="0" applyFill="0" applyBorder="0" applyAlignment="0" applyProtection="0"/>
    <xf numFmtId="0" fontId="5" fillId="13" borderId="9" applyNumberFormat="0" applyFont="0" applyAlignment="0" applyProtection="0"/>
    <xf numFmtId="0" fontId="18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19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19" fillId="25" borderId="0" applyNumberFormat="0" applyBorder="0" applyAlignment="0" applyProtection="0"/>
    <xf numFmtId="0" fontId="19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19" fillId="33" borderId="0" applyNumberFormat="0" applyBorder="0" applyAlignment="0" applyProtection="0"/>
    <xf numFmtId="0" fontId="19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36" borderId="0" applyNumberFormat="0" applyBorder="0" applyAlignment="0" applyProtection="0"/>
    <xf numFmtId="0" fontId="19" fillId="37" borderId="0" applyNumberFormat="0" applyBorder="0" applyAlignment="0" applyProtection="0"/>
    <xf numFmtId="0" fontId="26" fillId="0" borderId="0"/>
    <xf numFmtId="0" fontId="27" fillId="0" borderId="0" applyNumberFormat="0" applyFont="0" applyFill="0" applyBorder="0" applyAlignment="0" applyProtection="0"/>
    <xf numFmtId="0" fontId="28" fillId="0" borderId="0"/>
    <xf numFmtId="0" fontId="27" fillId="0" borderId="0"/>
    <xf numFmtId="0" fontId="28" fillId="0" borderId="0"/>
    <xf numFmtId="0" fontId="27" fillId="0" borderId="0"/>
    <xf numFmtId="0" fontId="29" fillId="0" borderId="0"/>
    <xf numFmtId="0" fontId="27" fillId="0" borderId="0" applyNumberFormat="0" applyFont="0" applyFill="0" applyBorder="0" applyAlignment="0" applyProtection="0"/>
    <xf numFmtId="0" fontId="27" fillId="0" borderId="0" applyNumberFormat="0" applyFont="0" applyFill="0" applyBorder="0" applyAlignment="0" applyProtection="0"/>
    <xf numFmtId="0" fontId="27" fillId="0" borderId="0" applyNumberFormat="0" applyFont="0" applyFill="0" applyBorder="0" applyAlignment="0" applyProtection="0"/>
    <xf numFmtId="0" fontId="27" fillId="0" borderId="0" applyNumberFormat="0" applyFont="0" applyFill="0" applyBorder="0" applyAlignment="0" applyProtection="0"/>
    <xf numFmtId="0" fontId="27" fillId="0" borderId="0" applyNumberFormat="0" applyFont="0" applyFill="0" applyBorder="0" applyAlignment="0" applyProtection="0"/>
    <xf numFmtId="0" fontId="27" fillId="0" borderId="0" applyNumberFormat="0" applyFont="0" applyFill="0" applyBorder="0" applyAlignment="0" applyProtection="0"/>
    <xf numFmtId="0" fontId="27" fillId="0" borderId="0" applyNumberFormat="0" applyFont="0" applyFill="0" applyBorder="0" applyAlignment="0" applyProtection="0"/>
    <xf numFmtId="0" fontId="27" fillId="0" borderId="0" applyNumberFormat="0" applyFont="0" applyFill="0" applyBorder="0" applyAlignment="0" applyProtection="0"/>
    <xf numFmtId="0" fontId="27" fillId="0" borderId="0" applyNumberFormat="0" applyFont="0" applyFill="0" applyBorder="0" applyAlignment="0" applyProtection="0"/>
    <xf numFmtId="0" fontId="27" fillId="0" borderId="0" applyNumberFormat="0" applyFont="0" applyFill="0" applyBorder="0" applyAlignment="0" applyProtection="0"/>
    <xf numFmtId="0" fontId="27" fillId="0" borderId="0" applyNumberFormat="0" applyFont="0" applyFill="0" applyBorder="0" applyAlignment="0" applyProtection="0"/>
    <xf numFmtId="0" fontId="27" fillId="0" borderId="0" applyNumberFormat="0" applyFont="0" applyFill="0" applyBorder="0" applyAlignment="0" applyProtection="0"/>
    <xf numFmtId="0" fontId="27" fillId="0" borderId="0" applyNumberFormat="0" applyFont="0" applyFill="0" applyBorder="0" applyAlignment="0" applyProtection="0"/>
    <xf numFmtId="0" fontId="29" fillId="0" borderId="0"/>
    <xf numFmtId="0" fontId="27" fillId="0" borderId="0" applyNumberFormat="0" applyFont="0" applyFill="0" applyBorder="0" applyAlignment="0" applyProtection="0"/>
    <xf numFmtId="0" fontId="26" fillId="0" borderId="0"/>
    <xf numFmtId="0" fontId="27" fillId="0" borderId="0" applyNumberFormat="0" applyFont="0" applyFill="0" applyBorder="0" applyAlignment="0" applyProtection="0"/>
    <xf numFmtId="0" fontId="26" fillId="0" borderId="0"/>
    <xf numFmtId="0" fontId="27" fillId="0" borderId="0" applyNumberFormat="0" applyFont="0" applyFill="0" applyBorder="0" applyAlignment="0" applyProtection="0"/>
    <xf numFmtId="0" fontId="27" fillId="0" borderId="0" applyNumberFormat="0" applyFont="0" applyFill="0" applyBorder="0" applyAlignment="0" applyProtection="0"/>
    <xf numFmtId="0" fontId="27" fillId="0" borderId="0"/>
    <xf numFmtId="0" fontId="27" fillId="0" borderId="0" applyNumberFormat="0" applyFont="0" applyFill="0" applyBorder="0" applyAlignment="0" applyProtection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0" fillId="0" borderId="0"/>
    <xf numFmtId="0" fontId="27" fillId="0" borderId="0"/>
    <xf numFmtId="0" fontId="5" fillId="0" borderId="0"/>
    <xf numFmtId="0" fontId="31" fillId="0" borderId="0"/>
    <xf numFmtId="0" fontId="5" fillId="0" borderId="0"/>
    <xf numFmtId="0" fontId="5" fillId="13" borderId="9" applyNumberFormat="0" applyFont="0" applyAlignment="0" applyProtection="0"/>
    <xf numFmtId="0" fontId="5" fillId="0" borderId="0"/>
    <xf numFmtId="0" fontId="5" fillId="13" borderId="9" applyNumberFormat="0" applyFont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0" borderId="0"/>
    <xf numFmtId="0" fontId="5" fillId="13" borderId="9" applyNumberFormat="0" applyFont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5" borderId="0" applyNumberFormat="0" applyBorder="0" applyAlignment="0" applyProtection="0"/>
    <xf numFmtId="0" fontId="5" fillId="36" borderId="0" applyNumberFormat="0" applyBorder="0" applyAlignment="0" applyProtection="0"/>
  </cellStyleXfs>
  <cellXfs count="107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2" fontId="0" fillId="2" borderId="1" xfId="0" applyNumberFormat="1" applyFill="1" applyBorder="1"/>
    <xf numFmtId="0" fontId="2" fillId="2" borderId="1" xfId="0" applyFont="1" applyFill="1" applyBorder="1" applyAlignment="1">
      <alignment wrapText="1"/>
    </xf>
    <xf numFmtId="0" fontId="3" fillId="0" borderId="1" xfId="0" applyFont="1" applyBorder="1"/>
    <xf numFmtId="0" fontId="3" fillId="2" borderId="1" xfId="0" applyFont="1" applyFill="1" applyBorder="1"/>
    <xf numFmtId="2" fontId="1" fillId="2" borderId="1" xfId="0" applyNumberFormat="1" applyFont="1" applyFill="1" applyBorder="1"/>
    <xf numFmtId="0" fontId="1" fillId="0" borderId="1" xfId="0" applyFont="1" applyBorder="1"/>
    <xf numFmtId="164" fontId="0" fillId="0" borderId="1" xfId="0" applyNumberFormat="1" applyBorder="1"/>
    <xf numFmtId="2" fontId="0" fillId="0" borderId="1" xfId="0" applyNumberFormat="1" applyBorder="1"/>
    <xf numFmtId="0" fontId="0" fillId="0" borderId="0" xfId="0"/>
    <xf numFmtId="0" fontId="2" fillId="0" borderId="1" xfId="0" applyFont="1" applyBorder="1"/>
    <xf numFmtId="0" fontId="0" fillId="0" borderId="1" xfId="0" applyBorder="1"/>
    <xf numFmtId="2" fontId="0" fillId="2" borderId="1" xfId="0" applyNumberFormat="1" applyFill="1" applyBorder="1"/>
    <xf numFmtId="0" fontId="0" fillId="2" borderId="1" xfId="0" applyFill="1" applyBorder="1"/>
    <xf numFmtId="0" fontId="0" fillId="3" borderId="1" xfId="0" applyFill="1" applyBorder="1"/>
    <xf numFmtId="2" fontId="0" fillId="3" borderId="1" xfId="0" applyNumberFormat="1" applyFill="1" applyBorder="1"/>
    <xf numFmtId="0" fontId="0" fillId="3" borderId="0" xfId="0" applyFill="1"/>
    <xf numFmtId="0" fontId="4" fillId="0" borderId="0" xfId="0" applyFont="1" applyAlignment="1">
      <alignment horizontal="left" vertical="center" readingOrder="1"/>
    </xf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2" fontId="1" fillId="6" borderId="1" xfId="0" applyNumberFormat="1" applyFont="1" applyFill="1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2" fontId="1" fillId="3" borderId="1" xfId="0" applyNumberFormat="1" applyFont="1" applyFill="1" applyBorder="1"/>
    <xf numFmtId="164" fontId="1" fillId="0" borderId="1" xfId="0" applyNumberFormat="1" applyFont="1" applyBorder="1"/>
    <xf numFmtId="168" fontId="0" fillId="0" borderId="1" xfId="0" applyNumberFormat="1" applyBorder="1"/>
    <xf numFmtId="2" fontId="24" fillId="0" borderId="1" xfId="0" applyNumberFormat="1" applyFont="1" applyBorder="1" applyAlignment="1">
      <alignment horizontal="center" vertical="center"/>
    </xf>
    <xf numFmtId="0" fontId="22" fillId="0" borderId="1" xfId="0" applyFont="1" applyFill="1" applyBorder="1" applyAlignment="1">
      <alignment horizontal="left" vertical="center"/>
    </xf>
    <xf numFmtId="0" fontId="25" fillId="0" borderId="1" xfId="0" applyFont="1" applyBorder="1" applyAlignment="1">
      <alignment horizontal="center" vertical="center" wrapText="1"/>
    </xf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0" fillId="5" borderId="1" xfId="0" applyFill="1" applyBorder="1"/>
    <xf numFmtId="2" fontId="0" fillId="5" borderId="1" xfId="0" applyNumberFormat="1" applyFill="1" applyBorder="1"/>
    <xf numFmtId="0" fontId="1" fillId="38" borderId="1" xfId="0" applyFont="1" applyFill="1" applyBorder="1"/>
    <xf numFmtId="0" fontId="3" fillId="0" borderId="0" xfId="0" applyFont="1" applyAlignment="1">
      <alignment horizontal="left" vertical="center"/>
    </xf>
    <xf numFmtId="1" fontId="0" fillId="0" borderId="1" xfId="0" applyNumberFormat="1" applyBorder="1"/>
    <xf numFmtId="0" fontId="0" fillId="0" borderId="1" xfId="0" applyBorder="1"/>
    <xf numFmtId="2" fontId="0" fillId="0" borderId="1" xfId="0" applyNumberFormat="1" applyBorder="1"/>
    <xf numFmtId="0" fontId="0" fillId="5" borderId="0" xfId="0" applyFill="1" applyBorder="1"/>
    <xf numFmtId="0" fontId="2" fillId="0" borderId="1" xfId="0" applyFont="1" applyFill="1" applyBorder="1"/>
    <xf numFmtId="0" fontId="21" fillId="0" borderId="0" xfId="0" applyFont="1"/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2" fillId="41" borderId="1" xfId="0" applyFont="1" applyFill="1" applyBorder="1" applyAlignment="1">
      <alignment horizontal="left" vertical="center"/>
    </xf>
    <xf numFmtId="0" fontId="22" fillId="40" borderId="1" xfId="0" applyFont="1" applyFill="1" applyBorder="1" applyAlignment="1">
      <alignment horizontal="left" vertical="center"/>
    </xf>
    <xf numFmtId="0" fontId="25" fillId="0" borderId="1" xfId="0" applyFont="1" applyBorder="1" applyAlignment="1">
      <alignment horizontal="center" vertical="center"/>
    </xf>
    <xf numFmtId="0" fontId="22" fillId="4" borderId="1" xfId="0" applyFont="1" applyFill="1" applyBorder="1" applyAlignment="1">
      <alignment horizontal="left" vertical="center"/>
    </xf>
    <xf numFmtId="2" fontId="25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0" fillId="41" borderId="1" xfId="0" applyFill="1" applyBorder="1"/>
    <xf numFmtId="0" fontId="1" fillId="38" borderId="0" xfId="0" applyFont="1" applyFill="1"/>
    <xf numFmtId="0" fontId="25" fillId="0" borderId="0" xfId="0" applyFont="1"/>
    <xf numFmtId="0" fontId="0" fillId="4" borderId="1" xfId="0" applyFill="1" applyBorder="1"/>
    <xf numFmtId="0" fontId="23" fillId="0" borderId="0" xfId="0" applyFont="1" applyFill="1" applyBorder="1" applyAlignment="1">
      <alignment horizontal="center" vertical="center"/>
    </xf>
    <xf numFmtId="0" fontId="0" fillId="38" borderId="0" xfId="0" applyFill="1"/>
    <xf numFmtId="165" fontId="25" fillId="39" borderId="1" xfId="0" applyNumberFormat="1" applyFont="1" applyFill="1" applyBorder="1" applyAlignment="1">
      <alignment horizontal="right" vertical="center"/>
    </xf>
    <xf numFmtId="165" fontId="25" fillId="4" borderId="1" xfId="0" applyNumberFormat="1" applyFont="1" applyFill="1" applyBorder="1" applyAlignment="1">
      <alignment horizontal="right" vertical="center"/>
    </xf>
    <xf numFmtId="165" fontId="25" fillId="40" borderId="1" xfId="0" applyNumberFormat="1" applyFont="1" applyFill="1" applyBorder="1" applyAlignment="1">
      <alignment horizontal="right" vertical="center"/>
    </xf>
    <xf numFmtId="165" fontId="24" fillId="40" borderId="1" xfId="0" applyNumberFormat="1" applyFont="1" applyFill="1" applyBorder="1" applyAlignment="1">
      <alignment horizontal="right" vertical="center"/>
    </xf>
    <xf numFmtId="165" fontId="24" fillId="4" borderId="1" xfId="0" applyNumberFormat="1" applyFont="1" applyFill="1" applyBorder="1" applyAlignment="1">
      <alignment horizontal="right" vertical="center"/>
    </xf>
    <xf numFmtId="0" fontId="25" fillId="39" borderId="1" xfId="0" applyFont="1" applyFill="1" applyBorder="1" applyAlignment="1">
      <alignment horizontal="right" vertical="center"/>
    </xf>
    <xf numFmtId="0" fontId="25" fillId="4" borderId="1" xfId="0" applyFont="1" applyFill="1" applyBorder="1" applyAlignment="1">
      <alignment horizontal="right" vertical="center"/>
    </xf>
    <xf numFmtId="0" fontId="25" fillId="40" borderId="1" xfId="0" applyFont="1" applyFill="1" applyBorder="1" applyAlignment="1">
      <alignment horizontal="right" vertical="center"/>
    </xf>
    <xf numFmtId="0" fontId="24" fillId="4" borderId="1" xfId="0" applyFont="1" applyFill="1" applyBorder="1" applyAlignment="1">
      <alignment horizontal="right" vertical="center"/>
    </xf>
    <xf numFmtId="0" fontId="23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top" wrapText="1"/>
    </xf>
    <xf numFmtId="0" fontId="25" fillId="0" borderId="11" xfId="0" applyFont="1" applyBorder="1" applyAlignment="1">
      <alignment horizontal="left"/>
    </xf>
    <xf numFmtId="0" fontId="25" fillId="0" borderId="12" xfId="0" applyFont="1" applyBorder="1" applyAlignment="1">
      <alignment horizontal="left"/>
    </xf>
    <xf numFmtId="0" fontId="25" fillId="0" borderId="13" xfId="0" applyFont="1" applyBorder="1" applyAlignment="1">
      <alignment horizontal="left"/>
    </xf>
    <xf numFmtId="0" fontId="24" fillId="0" borderId="11" xfId="0" applyFont="1" applyBorder="1" applyAlignment="1">
      <alignment horizontal="left"/>
    </xf>
    <xf numFmtId="0" fontId="24" fillId="0" borderId="13" xfId="0" applyFont="1" applyBorder="1" applyAlignment="1">
      <alignment horizontal="left"/>
    </xf>
    <xf numFmtId="0" fontId="24" fillId="40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1" fillId="42" borderId="1" xfId="0" applyFont="1" applyFill="1" applyBorder="1"/>
    <xf numFmtId="2" fontId="24" fillId="40" borderId="1" xfId="0" applyNumberFormat="1" applyFont="1" applyFill="1" applyBorder="1" applyAlignment="1">
      <alignment horizontal="right" vertical="center"/>
    </xf>
    <xf numFmtId="0" fontId="0" fillId="0" borderId="0" xfId="0" applyFill="1" applyBorder="1"/>
    <xf numFmtId="0" fontId="0" fillId="2" borderId="0" xfId="0" applyFill="1"/>
    <xf numFmtId="0" fontId="2" fillId="2" borderId="1" xfId="0" applyFont="1" applyFill="1" applyBorder="1" applyAlignment="1">
      <alignment wrapText="1"/>
    </xf>
    <xf numFmtId="0" fontId="0" fillId="2" borderId="1" xfId="0" applyFill="1" applyBorder="1"/>
    <xf numFmtId="2" fontId="0" fillId="2" borderId="1" xfId="0" applyNumberFormat="1" applyFill="1" applyBorder="1"/>
    <xf numFmtId="0" fontId="1" fillId="0" borderId="0" xfId="0" applyFont="1"/>
    <xf numFmtId="0" fontId="1" fillId="2" borderId="0" xfId="0" applyFont="1" applyFill="1"/>
    <xf numFmtId="0" fontId="24" fillId="2" borderId="1" xfId="0" applyFont="1" applyFill="1" applyBorder="1" applyAlignment="1">
      <alignment horizontal="left" vertical="center"/>
    </xf>
    <xf numFmtId="2" fontId="24" fillId="4" borderId="1" xfId="0" applyNumberFormat="1" applyFont="1" applyFill="1" applyBorder="1" applyAlignment="1">
      <alignment horizontal="right" vertical="center"/>
    </xf>
    <xf numFmtId="0" fontId="34" fillId="0" borderId="1" xfId="0" applyFont="1" applyBorder="1"/>
    <xf numFmtId="2" fontId="35" fillId="0" borderId="1" xfId="0" applyNumberFormat="1" applyFont="1" applyBorder="1"/>
    <xf numFmtId="1" fontId="35" fillId="0" borderId="1" xfId="0" applyNumberFormat="1" applyFont="1" applyBorder="1"/>
    <xf numFmtId="168" fontId="35" fillId="0" borderId="1" xfId="0" applyNumberFormat="1" applyFont="1" applyBorder="1"/>
    <xf numFmtId="167" fontId="35" fillId="0" borderId="1" xfId="0" applyNumberFormat="1" applyFont="1" applyBorder="1"/>
    <xf numFmtId="0" fontId="23" fillId="0" borderId="14" xfId="0" applyFont="1" applyBorder="1" applyAlignment="1">
      <alignment horizontal="center" vertical="center"/>
    </xf>
  </cellXfs>
  <cellStyles count="110">
    <cellStyle name="20% - Ênfase1" xfId="19" builtinId="30" customBuiltin="1"/>
    <cellStyle name="20% - Ênfase1 2" xfId="84"/>
    <cellStyle name="20% - Ênfase1 3" xfId="98"/>
    <cellStyle name="20% - Ênfase2" xfId="23" builtinId="34" customBuiltin="1"/>
    <cellStyle name="20% - Ênfase2 2" xfId="86"/>
    <cellStyle name="20% - Ênfase2 3" xfId="100"/>
    <cellStyle name="20% - Ênfase3" xfId="27" builtinId="38" customBuiltin="1"/>
    <cellStyle name="20% - Ênfase3 2" xfId="88"/>
    <cellStyle name="20% - Ênfase3 3" xfId="102"/>
    <cellStyle name="20% - Ênfase4" xfId="31" builtinId="42" customBuiltin="1"/>
    <cellStyle name="20% - Ênfase4 2" xfId="90"/>
    <cellStyle name="20% - Ênfase4 3" xfId="104"/>
    <cellStyle name="20% - Ênfase5" xfId="35" builtinId="46" customBuiltin="1"/>
    <cellStyle name="20% - Ênfase5 2" xfId="92"/>
    <cellStyle name="20% - Ênfase5 3" xfId="106"/>
    <cellStyle name="20% - Ênfase6" xfId="39" builtinId="50" customBuiltin="1"/>
    <cellStyle name="20% - Ênfase6 2" xfId="94"/>
    <cellStyle name="20% - Ênfase6 3" xfId="108"/>
    <cellStyle name="40% - Ênfase1" xfId="20" builtinId="31" customBuiltin="1"/>
    <cellStyle name="40% - Ênfase1 2" xfId="85"/>
    <cellStyle name="40% - Ênfase1 3" xfId="99"/>
    <cellStyle name="40% - Ênfase2" xfId="24" builtinId="35" customBuiltin="1"/>
    <cellStyle name="40% - Ênfase2 2" xfId="87"/>
    <cellStyle name="40% - Ênfase2 3" xfId="101"/>
    <cellStyle name="40% - Ênfase3" xfId="28" builtinId="39" customBuiltin="1"/>
    <cellStyle name="40% - Ênfase3 2" xfId="89"/>
    <cellStyle name="40% - Ênfase3 3" xfId="103"/>
    <cellStyle name="40% - Ênfase4" xfId="32" builtinId="43" customBuiltin="1"/>
    <cellStyle name="40% - Ênfase4 2" xfId="91"/>
    <cellStyle name="40% - Ênfase4 3" xfId="105"/>
    <cellStyle name="40% - Ênfase5" xfId="36" builtinId="47" customBuiltin="1"/>
    <cellStyle name="40% - Ênfase5 2" xfId="93"/>
    <cellStyle name="40% - Ênfase5 3" xfId="107"/>
    <cellStyle name="40% - Ênfase6" xfId="40" builtinId="51" customBuiltin="1"/>
    <cellStyle name="40% - Ênfase6 2" xfId="95"/>
    <cellStyle name="40% - Ênfase6 3" xfId="109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rmal 2" xfId="42"/>
    <cellStyle name="Normal 2 10" xfId="43"/>
    <cellStyle name="Normal 2 11" xfId="78"/>
    <cellStyle name="Normal 2 12" xfId="79"/>
    <cellStyle name="Normal 2 2" xfId="44"/>
    <cellStyle name="Normal 2 2 2" xfId="45"/>
    <cellStyle name="Normal 2 2 3" xfId="46"/>
    <cellStyle name="Normal 2 2 4" xfId="47"/>
    <cellStyle name="Normal 2 3" xfId="48"/>
    <cellStyle name="Normal 2 3 2" xfId="49"/>
    <cellStyle name="Normal 2 3 2 2" xfId="50"/>
    <cellStyle name="Normal 2 3 3" xfId="51"/>
    <cellStyle name="Normal 2 3 4" xfId="52"/>
    <cellStyle name="Normal 2 3 4 2" xfId="53"/>
    <cellStyle name="Normal 2 3 4 2 2" xfId="54"/>
    <cellStyle name="Normal 2 3 4 2 3" xfId="55"/>
    <cellStyle name="Normal 2 3 4 3" xfId="56"/>
    <cellStyle name="Normal 2 3 4 3 2" xfId="57"/>
    <cellStyle name="Normal 2 3 5" xfId="58"/>
    <cellStyle name="Normal 2 3 6" xfId="59"/>
    <cellStyle name="Normal 2 3 7" xfId="60"/>
    <cellStyle name="Normal 2 3 7 2" xfId="61"/>
    <cellStyle name="Normal 2 3 8" xfId="62"/>
    <cellStyle name="Normal 2 3 9" xfId="63"/>
    <cellStyle name="Normal 2 4" xfId="64"/>
    <cellStyle name="Normal 2 4 2" xfId="65"/>
    <cellStyle name="Normal 2 4 3" xfId="66"/>
    <cellStyle name="Normal 2 4 4" xfId="67"/>
    <cellStyle name="Normal 2 5" xfId="68"/>
    <cellStyle name="Normal 2 6" xfId="69"/>
    <cellStyle name="Normal 2 7" xfId="70"/>
    <cellStyle name="Normal 2 8" xfId="71"/>
    <cellStyle name="Normal 2 9" xfId="72"/>
    <cellStyle name="Normal 2 9 2" xfId="73"/>
    <cellStyle name="Normal 3" xfId="74"/>
    <cellStyle name="Normal 3 2" xfId="80"/>
    <cellStyle name="Normal 4" xfId="75"/>
    <cellStyle name="Normal 4 2" xfId="82"/>
    <cellStyle name="Normal 5" xfId="76"/>
    <cellStyle name="Normal 5 2" xfId="96"/>
    <cellStyle name="Normal 6" xfId="77"/>
    <cellStyle name="Nota" xfId="15" builtinId="10" customBuiltin="1"/>
    <cellStyle name="Nota 2" xfId="81"/>
    <cellStyle name="Nota 3" xfId="83"/>
    <cellStyle name="Nota 4" xfId="97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/>
              <a:t>Min and Max pore diameter (regognized from 10</a:t>
            </a:r>
            <a:r>
              <a:rPr lang="en-US" sz="1600" baseline="0"/>
              <a:t> samples in data set</a:t>
            </a:r>
            <a:r>
              <a:rPr lang="en-US" sz="1440" b="1" i="0" u="none" strike="noStrike" baseline="0">
                <a:effectLst/>
              </a:rPr>
              <a:t>, Well 861</a:t>
            </a:r>
            <a:r>
              <a:rPr lang="en-US" sz="1600" baseline="0"/>
              <a:t>)</a:t>
            </a:r>
            <a:endParaRPr lang="en-US" sz="160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Detected_pores!$P$3</c:f>
              <c:strCache>
                <c:ptCount val="1"/>
                <c:pt idx="0">
                  <c:v>Micro CT (sample ~38 mm in diameter)</c:v>
                </c:pt>
              </c:strCache>
            </c:strRef>
          </c:tx>
          <c:dLbls>
            <c:dLbl>
              <c:idx val="0"/>
              <c:layout>
                <c:manualLayout>
                  <c:x val="-2.3564061157706689E-2"/>
                  <c:y val="4.040403051617798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5.3019137604839971E-2"/>
                  <c:y val="4.040378579158372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xVal>
            <c:numRef>
              <c:f>(Detected_pores!$Z$7,Detected_pores!$Z$8)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3</c:v>
              </c:pt>
              <c:pt idx="1">
                <c:v>3</c:v>
              </c:pt>
            </c:numLit>
          </c:yVal>
          <c:smooth val="0"/>
        </c:ser>
        <c:ser>
          <c:idx val="1"/>
          <c:order val="1"/>
          <c:tx>
            <c:strRef>
              <c:f>Detected_pores!$P$11</c:f>
              <c:strCache>
                <c:ptCount val="1"/>
                <c:pt idx="0">
                  <c:v>Micro CT (sample ~6 mm in diameter)</c:v>
                </c:pt>
              </c:strCache>
            </c:strRef>
          </c:tx>
          <c:dLbls>
            <c:dLbl>
              <c:idx val="0"/>
              <c:layout>
                <c:manualLayout>
                  <c:x val="-2.3564061157706654E-2"/>
                  <c:y val="4.662003521097462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4.7128122315413239E-2"/>
                  <c:y val="4.662003521097462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xVal>
            <c:numRef>
              <c:f>(Detected_pores!$Z$15,Detected_pores!$Z$16)</c:f>
              <c:numCache>
                <c:formatCode>General</c:formatCode>
                <c:ptCount val="2"/>
                <c:pt idx="0">
                  <c:v>15.03459217466796</c:v>
                </c:pt>
                <c:pt idx="1">
                  <c:v>490.12934571376678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yVal>
          <c:smooth val="0"/>
        </c:ser>
        <c:ser>
          <c:idx val="2"/>
          <c:order val="2"/>
          <c:tx>
            <c:strRef>
              <c:f>Detected_pores!$P$19</c:f>
              <c:strCache>
                <c:ptCount val="1"/>
                <c:pt idx="0">
                  <c:v>Micro CT (sample ~2.5 mm in diameter)</c:v>
                </c:pt>
              </c:strCache>
            </c:strRef>
          </c:tx>
          <c:dLbls>
            <c:dLbl>
              <c:idx val="0"/>
              <c:layout>
                <c:manualLayout>
                  <c:x val="-3.7309763499702199E-2"/>
                  <c:y val="4.351203286357631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4.3200778789128869E-2"/>
                  <c:y val="4.662003521097462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xVal>
            <c:numRef>
              <c:f>Detected_pores!$Z$23:$Z$24</c:f>
              <c:numCache>
                <c:formatCode>0.00</c:formatCode>
                <c:ptCount val="2"/>
                <c:pt idx="0">
                  <c:v>5.4090055889981361</c:v>
                </c:pt>
                <c:pt idx="1">
                  <c:v>1948.5710765714041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1</c:v>
              </c:pt>
              <c:pt idx="1">
                <c:v>1</c:v>
              </c:pt>
            </c:numLit>
          </c:yVal>
          <c:smooth val="0"/>
        </c:ser>
        <c:ser>
          <c:idx val="3"/>
          <c:order val="3"/>
          <c:tx>
            <c:v>Min detectable, ~38 mm</c:v>
          </c:tx>
          <c:dLbls>
            <c:dLbl>
              <c:idx val="0"/>
              <c:layout>
                <c:manualLayout>
                  <c:x val="-1.6335959932284608E-2"/>
                  <c:y val="-4.351203286357631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xVal>
            <c:numRef>
              <c:f>Detected_pores!$C$9</c:f>
              <c:numCache>
                <c:formatCode>0.00</c:formatCode>
                <c:ptCount val="1"/>
                <c:pt idx="0">
                  <c:v>27.397046177079048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3</c:v>
              </c:pt>
            </c:numLit>
          </c:yVal>
          <c:smooth val="0"/>
        </c:ser>
        <c:ser>
          <c:idx val="4"/>
          <c:order val="4"/>
          <c:tx>
            <c:v>Min detectable, ~6 mm</c:v>
          </c:tx>
          <c:dLbls>
            <c:dLbl>
              <c:idx val="0"/>
              <c:layout>
                <c:manualLayout>
                  <c:x val="-4.7128122315413308E-2"/>
                  <c:y val="-4.662003521097462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0"/>
          </c:dLbls>
          <c:xVal>
            <c:numRef>
              <c:f>Detected_pores!$D$9</c:f>
              <c:numCache>
                <c:formatCode>0.00</c:formatCode>
                <c:ptCount val="1"/>
                <c:pt idx="0">
                  <c:v>7.5150052528561142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2</c:v>
              </c:pt>
            </c:numLit>
          </c:yVal>
          <c:smooth val="0"/>
        </c:ser>
        <c:ser>
          <c:idx val="5"/>
          <c:order val="5"/>
          <c:tx>
            <c:v>Min detectable, ~2.5 mm</c:v>
          </c:tx>
          <c:dLbls>
            <c:dLbl>
              <c:idx val="0"/>
              <c:layout>
                <c:manualLayout>
                  <c:x val="-3.9273435262844422E-2"/>
                  <c:y val="-4.662003521097462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0"/>
          </c:dLbls>
          <c:xVal>
            <c:numRef>
              <c:f>Detected_pores!$E$9</c:f>
              <c:numCache>
                <c:formatCode>0.00</c:formatCode>
                <c:ptCount val="1"/>
                <c:pt idx="0">
                  <c:v>2.866083084422602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</c:ser>
        <c:ser>
          <c:idx val="6"/>
          <c:order val="6"/>
          <c:tx>
            <c:v>Micropores - Anselmetti et al. (1998)</c:v>
          </c:tx>
          <c:spPr>
            <a:ln>
              <a:solidFill>
                <a:srgbClr val="FF0000"/>
              </a:solidFill>
              <a:prstDash val="sysDash"/>
            </a:ln>
          </c:spPr>
          <c:dLbls>
            <c:dLbl>
              <c:idx val="0"/>
              <c:layout>
                <c:manualLayout>
                  <c:x val="-3.4456932903587027E-2"/>
                  <c:y val="3.72960281687797E-2"/>
                </c:manualLayout>
              </c:layout>
              <c:tx>
                <c:rich>
                  <a:bodyPr/>
                  <a:lstStyle/>
                  <a:p>
                    <a:r>
                      <a:rPr lang="en-US">
                        <a:solidFill>
                          <a:srgbClr val="FF0000"/>
                        </a:solidFill>
                      </a:rPr>
                      <a:t>25.23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xVal>
            <c:numLit>
              <c:formatCode>General</c:formatCode>
              <c:ptCount val="2"/>
              <c:pt idx="0">
                <c:v>25.23</c:v>
              </c:pt>
              <c:pt idx="1">
                <c:v>25.23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993024"/>
        <c:axId val="222761728"/>
      </c:scatterChart>
      <c:valAx>
        <c:axId val="222993024"/>
        <c:scaling>
          <c:logBase val="10"/>
          <c:orientation val="minMax"/>
          <c:max val="20000"/>
          <c:min val="1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µm (Log10 view)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222761728"/>
        <c:crosses val="autoZero"/>
        <c:crossBetween val="midCat"/>
        <c:majorUnit val="5000"/>
        <c:minorUnit val="1000"/>
      </c:valAx>
      <c:valAx>
        <c:axId val="222761728"/>
        <c:scaling>
          <c:orientation val="minMax"/>
          <c:max val="3.5"/>
          <c:min val="0"/>
        </c:scaling>
        <c:delete val="1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CT resolutions for specimens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22993024"/>
        <c:crosses val="autoZero"/>
        <c:crossBetween val="midCat"/>
        <c:majorUnit val="1"/>
        <c:minorUnit val="0.1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 sz="1200"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/>
              <a:t>Min and Max pore area (regognized from 10</a:t>
            </a:r>
            <a:r>
              <a:rPr lang="en-US" sz="1600" baseline="0"/>
              <a:t> samples in data set, Well 861)</a:t>
            </a:r>
            <a:endParaRPr lang="en-US" sz="160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Detected_pores!$P$3</c:f>
              <c:strCache>
                <c:ptCount val="1"/>
                <c:pt idx="0">
                  <c:v>Micro CT (sample ~38 mm in diameter)</c:v>
                </c:pt>
              </c:strCache>
            </c:strRef>
          </c:tx>
          <c:dLbls>
            <c:dLbl>
              <c:idx val="0"/>
              <c:layout>
                <c:manualLayout>
                  <c:x val="-2.3564061157706689E-2"/>
                  <c:y val="4.040403051617798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7.0996616944954669E-2"/>
                  <c:y val="4.040378579158372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</c:dLbl>
            <c:numFmt formatCode="0.0" sourceLinked="0"/>
            <c:showLegendKey val="0"/>
            <c:showVal val="0"/>
            <c:showCatName val="1"/>
            <c:showSerName val="0"/>
            <c:showPercent val="0"/>
            <c:showBubbleSize val="0"/>
            <c:showLeaderLines val="0"/>
          </c:dLbls>
          <c:xVal>
            <c:numRef>
              <c:f>Detected_pores!$Z$4:$Z$5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3</c:v>
              </c:pt>
              <c:pt idx="1">
                <c:v>3</c:v>
              </c:pt>
            </c:numLit>
          </c:yVal>
          <c:smooth val="0"/>
        </c:ser>
        <c:ser>
          <c:idx val="1"/>
          <c:order val="1"/>
          <c:tx>
            <c:strRef>
              <c:f>Detected_pores!$P$11</c:f>
              <c:strCache>
                <c:ptCount val="1"/>
                <c:pt idx="0">
                  <c:v>Micro CT (sample ~6 mm in diameter)</c:v>
                </c:pt>
              </c:strCache>
            </c:strRef>
          </c:tx>
          <c:dLbls>
            <c:dLbl>
              <c:idx val="0"/>
              <c:layout>
                <c:manualLayout>
                  <c:x val="-2.8058394887303651E-2"/>
                  <c:y val="4.662003521097462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4.7128122315413239E-2"/>
                  <c:y val="4.662003521097462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</c:dLbl>
            <c:numFmt formatCode="0.0" sourceLinked="0"/>
            <c:showLegendKey val="0"/>
            <c:showVal val="0"/>
            <c:showCatName val="1"/>
            <c:showSerName val="0"/>
            <c:showPercent val="0"/>
            <c:showBubbleSize val="0"/>
            <c:showLeaderLines val="0"/>
          </c:dLbls>
          <c:xVal>
            <c:numRef>
              <c:f>Detected_pores!$Z$12:$Z$13</c:f>
              <c:numCache>
                <c:formatCode>General</c:formatCode>
                <c:ptCount val="2"/>
                <c:pt idx="0">
                  <c:v>177.5305855</c:v>
                </c:pt>
                <c:pt idx="1">
                  <c:v>188673.66829999999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yVal>
          <c:smooth val="0"/>
        </c:ser>
        <c:ser>
          <c:idx val="2"/>
          <c:order val="2"/>
          <c:tx>
            <c:strRef>
              <c:f>Detected_pores!$P$19</c:f>
              <c:strCache>
                <c:ptCount val="1"/>
                <c:pt idx="0">
                  <c:v>Micro CT (sample ~2.5 mm in diameter)</c:v>
                </c:pt>
              </c:strCache>
            </c:strRef>
          </c:tx>
          <c:dLbls>
            <c:dLbl>
              <c:idx val="0"/>
              <c:layout>
                <c:manualLayout>
                  <c:x val="-3.7309763499702199E-2"/>
                  <c:y val="4.351203286357631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4.3200778789128869E-2"/>
                  <c:y val="4.662003521097462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</c:dLbl>
            <c:numFmt formatCode="0.0" sourceLinked="0"/>
            <c:showLegendKey val="0"/>
            <c:showVal val="0"/>
            <c:showCatName val="1"/>
            <c:showSerName val="0"/>
            <c:showPercent val="0"/>
            <c:showBubbleSize val="0"/>
            <c:showLeaderLines val="0"/>
          </c:dLbls>
          <c:xVal>
            <c:numRef>
              <c:f>Detected_pores!$Z$20:$Z$21</c:f>
              <c:numCache>
                <c:formatCode>General</c:formatCode>
                <c:ptCount val="2"/>
                <c:pt idx="0" formatCode="0.00">
                  <c:v>22.97866225000001</c:v>
                </c:pt>
                <c:pt idx="1">
                  <c:v>2982101.2519999999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1</c:v>
              </c:pt>
              <c:pt idx="1">
                <c:v>1</c:v>
              </c:pt>
            </c:numLit>
          </c:yVal>
          <c:smooth val="0"/>
        </c:ser>
        <c:ser>
          <c:idx val="3"/>
          <c:order val="3"/>
          <c:tx>
            <c:v>Min detectable, ~38 mm</c:v>
          </c:tx>
          <c:dLbls>
            <c:dLbl>
              <c:idx val="0"/>
              <c:layout>
                <c:manualLayout>
                  <c:x val="-1.6335959932284608E-2"/>
                  <c:y val="-4.351203286357631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</c:dLbl>
            <c:numFmt formatCode="0.0" sourceLinked="0"/>
            <c:showLegendKey val="0"/>
            <c:showVal val="0"/>
            <c:showCatName val="1"/>
            <c:showSerName val="0"/>
            <c:showPercent val="0"/>
            <c:showBubbleSize val="0"/>
            <c:showLeaderLines val="0"/>
          </c:dLbls>
          <c:xVal>
            <c:numRef>
              <c:f>Detected_pores!$C$8</c:f>
              <c:numCache>
                <c:formatCode>0.00</c:formatCode>
                <c:ptCount val="1"/>
                <c:pt idx="0">
                  <c:v>589.51840000000004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3</c:v>
              </c:pt>
            </c:numLit>
          </c:yVal>
          <c:smooth val="0"/>
        </c:ser>
        <c:ser>
          <c:idx val="4"/>
          <c:order val="4"/>
          <c:tx>
            <c:v>Min detectable, ~6 mm</c:v>
          </c:tx>
          <c:dLbls>
            <c:dLbl>
              <c:idx val="0"/>
              <c:layout>
                <c:manualLayout>
                  <c:x val="-4.7128122315413308E-2"/>
                  <c:y val="-4.662003521097462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</c:dLbl>
            <c:numFmt formatCode="0.0" sourceLinked="0"/>
            <c:showLegendKey val="0"/>
            <c:showVal val="0"/>
            <c:showCatName val="1"/>
            <c:showSerName val="0"/>
            <c:showPercent val="0"/>
            <c:showBubbleSize val="0"/>
            <c:showLeaderLines val="0"/>
          </c:dLbls>
          <c:xVal>
            <c:numRef>
              <c:f>Detected_pores!$D$8</c:f>
              <c:numCache>
                <c:formatCode>0.00</c:formatCode>
                <c:ptCount val="1"/>
                <c:pt idx="0">
                  <c:v>44.355600000000003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2</c:v>
              </c:pt>
            </c:numLit>
          </c:yVal>
          <c:smooth val="0"/>
        </c:ser>
        <c:ser>
          <c:idx val="5"/>
          <c:order val="5"/>
          <c:tx>
            <c:v>Min detectable, ~2.5 mm</c:v>
          </c:tx>
          <c:dLbls>
            <c:dLbl>
              <c:idx val="0"/>
              <c:layout>
                <c:manualLayout>
                  <c:x val="-3.9273435262844422E-2"/>
                  <c:y val="-4.662003521097462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0"/>
          </c:dLbls>
          <c:xVal>
            <c:numRef>
              <c:f>Detected_pores!$E$8</c:f>
              <c:numCache>
                <c:formatCode>0.00</c:formatCode>
                <c:ptCount val="1"/>
                <c:pt idx="0">
                  <c:v>6.4516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</c:ser>
        <c:ser>
          <c:idx val="6"/>
          <c:order val="6"/>
          <c:tx>
            <c:v>Micropores - Anselmetti et al. (1998)</c:v>
          </c:tx>
          <c:spPr>
            <a:ln>
              <a:solidFill>
                <a:srgbClr val="FF0000"/>
              </a:solidFill>
              <a:prstDash val="sysDash"/>
            </a:ln>
          </c:spPr>
          <c:dLbls>
            <c:dLbl>
              <c:idx val="0"/>
              <c:layout>
                <c:manualLayout>
                  <c:x val="-2.8464422833397958E-2"/>
                  <c:y val="3.1080023473983084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>
                        <a:solidFill>
                          <a:srgbClr val="FF0000"/>
                        </a:solidFill>
                      </a:rPr>
                      <a:t>500</a:t>
                    </a:r>
                  </a:p>
                </c:rich>
              </c:tx>
              <c:numFmt formatCode="#,##0.00" sourceLinked="0"/>
              <c:spPr/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xVal>
            <c:numLit>
              <c:formatCode>General</c:formatCode>
              <c:ptCount val="2"/>
              <c:pt idx="0">
                <c:v>500</c:v>
              </c:pt>
              <c:pt idx="1">
                <c:v>500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839936"/>
        <c:axId val="222841856"/>
      </c:scatterChart>
      <c:valAx>
        <c:axId val="222839936"/>
        <c:scaling>
          <c:logBase val="10"/>
          <c:orientation val="minMax"/>
          <c:max val="100000000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µm² (Log10 view)</a:t>
                </a:r>
              </a:p>
            </c:rich>
          </c:tx>
          <c:overlay val="0"/>
        </c:title>
        <c:numFmt formatCode="0.E+00" sourceLinked="0"/>
        <c:majorTickMark val="none"/>
        <c:minorTickMark val="none"/>
        <c:tickLblPos val="nextTo"/>
        <c:crossAx val="222841856"/>
        <c:crosses val="autoZero"/>
        <c:crossBetween val="midCat"/>
      </c:valAx>
      <c:valAx>
        <c:axId val="222841856"/>
        <c:scaling>
          <c:orientation val="minMax"/>
          <c:max val="3.5"/>
          <c:min val="0"/>
        </c:scaling>
        <c:delete val="1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CT resolutions for specimens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22839936"/>
        <c:crosses val="autoZero"/>
        <c:crossBetween val="midCat"/>
        <c:majorUnit val="1"/>
        <c:minorUnit val="0.1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 sz="1200"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Is Quartz </a:t>
            </a:r>
            <a:r>
              <a:rPr lang="en-US" baseline="0"/>
              <a:t>the "Solid 1" in Micro CT data?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2315467909061459"/>
          <c:y val="0.11860535488475409"/>
          <c:w val="0.5846469613337486"/>
          <c:h val="0.73113378972871002"/>
        </c:manualLayout>
      </c:layout>
      <c:scatterChart>
        <c:scatterStyle val="lineMarker"/>
        <c:varyColors val="0"/>
        <c:ser>
          <c:idx val="0"/>
          <c:order val="0"/>
          <c:tx>
            <c:strRef>
              <c:f>'Mineral dual thresh'!$C$21</c:f>
              <c:strCache>
                <c:ptCount val="1"/>
                <c:pt idx="0">
                  <c:v>F2829V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</c:marker>
          <c:xVal>
            <c:numRef>
              <c:f>'Mineral dual thresh'!$G$21</c:f>
              <c:numCache>
                <c:formatCode>0.0</c:formatCode>
                <c:ptCount val="1"/>
                <c:pt idx="0">
                  <c:v>9</c:v>
                </c:pt>
              </c:numCache>
            </c:numRef>
          </c:xVal>
          <c:yVal>
            <c:numRef>
              <c:f>'Mineral dual thresh'!$Q$5</c:f>
              <c:numCache>
                <c:formatCode>0.00</c:formatCode>
                <c:ptCount val="1"/>
                <c:pt idx="0">
                  <c:v>49.45250827603769</c:v>
                </c:pt>
              </c:numCache>
            </c:numRef>
          </c:yVal>
          <c:smooth val="0"/>
        </c:ser>
        <c:ser>
          <c:idx val="2"/>
          <c:order val="1"/>
          <c:tx>
            <c:strRef>
              <c:f>'Mineral dual thresh'!$C$22</c:f>
              <c:strCache>
                <c:ptCount val="1"/>
                <c:pt idx="0">
                  <c:v>F2830H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</c:marker>
          <c:xVal>
            <c:numRef>
              <c:f>'Mineral dual thresh'!$G$22</c:f>
              <c:numCache>
                <c:formatCode>0.0</c:formatCode>
                <c:ptCount val="1"/>
                <c:pt idx="0">
                  <c:v>70</c:v>
                </c:pt>
              </c:numCache>
            </c:numRef>
          </c:xVal>
          <c:yVal>
            <c:numRef>
              <c:f>'Mineral dual thresh'!$R$5</c:f>
              <c:numCache>
                <c:formatCode>0.00</c:formatCode>
                <c:ptCount val="1"/>
                <c:pt idx="0">
                  <c:v>88.354659428719145</c:v>
                </c:pt>
              </c:numCache>
            </c:numRef>
          </c:yVal>
          <c:smooth val="0"/>
        </c:ser>
        <c:ser>
          <c:idx val="3"/>
          <c:order val="2"/>
          <c:tx>
            <c:strRef>
              <c:f>'Mineral dual thresh'!$C$23</c:f>
              <c:strCache>
                <c:ptCount val="1"/>
                <c:pt idx="0">
                  <c:v>F2852H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</c:marker>
          <c:xVal>
            <c:numRef>
              <c:f>'Mineral dual thresh'!$G$23</c:f>
              <c:numCache>
                <c:formatCode>0.0</c:formatCode>
                <c:ptCount val="1"/>
                <c:pt idx="0">
                  <c:v>25</c:v>
                </c:pt>
              </c:numCache>
            </c:numRef>
          </c:xVal>
          <c:yVal>
            <c:numRef>
              <c:f>'Mineral dual thresh'!$S$5</c:f>
              <c:numCache>
                <c:formatCode>0.00</c:formatCode>
                <c:ptCount val="1"/>
                <c:pt idx="0">
                  <c:v>17.608861726508785</c:v>
                </c:pt>
              </c:numCache>
            </c:numRef>
          </c:yVal>
          <c:smooth val="0"/>
        </c:ser>
        <c:ser>
          <c:idx val="4"/>
          <c:order val="3"/>
          <c:tx>
            <c:strRef>
              <c:f>'Mineral dual thresh'!$C$24</c:f>
              <c:strCache>
                <c:ptCount val="1"/>
                <c:pt idx="0">
                  <c:v>F2854H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</c:marker>
          <c:xVal>
            <c:numRef>
              <c:f>'Mineral dual thresh'!$G$24</c:f>
              <c:numCache>
                <c:formatCode>0.0</c:formatCode>
                <c:ptCount val="1"/>
                <c:pt idx="0">
                  <c:v>6</c:v>
                </c:pt>
              </c:numCache>
            </c:numRef>
          </c:xVal>
          <c:yVal>
            <c:numRef>
              <c:f>'Mineral dual thresh'!$T$5</c:f>
              <c:numCache>
                <c:formatCode>0.00</c:formatCode>
                <c:ptCount val="1"/>
                <c:pt idx="0">
                  <c:v>93.786605551311439</c:v>
                </c:pt>
              </c:numCache>
            </c:numRef>
          </c:yVal>
          <c:smooth val="0"/>
        </c:ser>
        <c:ser>
          <c:idx val="5"/>
          <c:order val="4"/>
          <c:tx>
            <c:strRef>
              <c:f>'Mineral dual thresh'!$C$25</c:f>
              <c:strCache>
                <c:ptCount val="1"/>
                <c:pt idx="0">
                  <c:v>F2859H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  <c:spPr>
              <a:solidFill>
                <a:schemeClr val="accent1">
                  <a:lumMod val="60000"/>
                  <a:lumOff val="40000"/>
                </a:schemeClr>
              </a:solidFill>
            </c:spPr>
          </c:marker>
          <c:xVal>
            <c:numRef>
              <c:f>'Mineral dual thresh'!$G$25</c:f>
              <c:numCache>
                <c:formatCode>0.0</c:formatCode>
                <c:ptCount val="1"/>
                <c:pt idx="0">
                  <c:v>18</c:v>
                </c:pt>
              </c:numCache>
            </c:numRef>
          </c:xVal>
          <c:yVal>
            <c:numRef>
              <c:f>'Mineral dual thresh'!$U$5</c:f>
              <c:numCache>
                <c:formatCode>0.00</c:formatCode>
                <c:ptCount val="1"/>
                <c:pt idx="0">
                  <c:v>26.776165011459131</c:v>
                </c:pt>
              </c:numCache>
            </c:numRef>
          </c:yVal>
          <c:smooth val="0"/>
        </c:ser>
        <c:ser>
          <c:idx val="6"/>
          <c:order val="5"/>
          <c:tx>
            <c:strRef>
              <c:f>'Mineral dual thresh'!$C$26</c:f>
              <c:strCache>
                <c:ptCount val="1"/>
                <c:pt idx="0">
                  <c:v>F2880H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  <c:spPr>
              <a:solidFill>
                <a:schemeClr val="accent2">
                  <a:lumMod val="75000"/>
                </a:schemeClr>
              </a:solidFill>
            </c:spPr>
          </c:marker>
          <c:xVal>
            <c:numRef>
              <c:f>'Mineral dual thresh'!$G$26</c:f>
              <c:numCache>
                <c:formatCode>0.0</c:formatCode>
                <c:ptCount val="1"/>
                <c:pt idx="0">
                  <c:v>17</c:v>
                </c:pt>
              </c:numCache>
            </c:numRef>
          </c:xVal>
          <c:yVal>
            <c:numRef>
              <c:f>'Mineral dual thresh'!$V$5</c:f>
              <c:numCache>
                <c:formatCode>0.00</c:formatCode>
                <c:ptCount val="1"/>
                <c:pt idx="0">
                  <c:v>29.691876750700281</c:v>
                </c:pt>
              </c:numCache>
            </c:numRef>
          </c:yVal>
          <c:smooth val="0"/>
        </c:ser>
        <c:ser>
          <c:idx val="7"/>
          <c:order val="6"/>
          <c:tx>
            <c:strRef>
              <c:f>'Mineral dual thresh'!$C$27</c:f>
              <c:strCache>
                <c:ptCount val="1"/>
                <c:pt idx="0">
                  <c:v>F2910H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  <c:spPr>
              <a:solidFill>
                <a:schemeClr val="accent6"/>
              </a:solidFill>
            </c:spPr>
          </c:marker>
          <c:xVal>
            <c:numRef>
              <c:f>'Mineral dual thresh'!$G$27</c:f>
              <c:numCache>
                <c:formatCode>0.0</c:formatCode>
                <c:ptCount val="1"/>
                <c:pt idx="0">
                  <c:v>7</c:v>
                </c:pt>
              </c:numCache>
            </c:numRef>
          </c:xVal>
          <c:yVal>
            <c:numRef>
              <c:f>'Mineral dual thresh'!$W$5</c:f>
              <c:numCache>
                <c:formatCode>0.00</c:formatCode>
                <c:ptCount val="1"/>
                <c:pt idx="0">
                  <c:v>13.637525562372188</c:v>
                </c:pt>
              </c:numCache>
            </c:numRef>
          </c:yVal>
          <c:smooth val="0"/>
        </c:ser>
        <c:ser>
          <c:idx val="8"/>
          <c:order val="7"/>
          <c:tx>
            <c:strRef>
              <c:f>'Mineral dual thresh'!$C$28</c:f>
              <c:strCache>
                <c:ptCount val="1"/>
                <c:pt idx="0">
                  <c:v>F2911V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  <c:spPr>
              <a:solidFill>
                <a:schemeClr val="accent2">
                  <a:lumMod val="60000"/>
                  <a:lumOff val="40000"/>
                </a:schemeClr>
              </a:solidFill>
            </c:spPr>
          </c:marker>
          <c:xVal>
            <c:numRef>
              <c:f>'Mineral dual thresh'!$G$28</c:f>
              <c:numCache>
                <c:formatCode>0.0</c:formatCode>
                <c:ptCount val="1"/>
                <c:pt idx="0">
                  <c:v>12</c:v>
                </c:pt>
              </c:numCache>
            </c:numRef>
          </c:xVal>
          <c:yVal>
            <c:numRef>
              <c:f>'Mineral dual thresh'!$X$5</c:f>
              <c:numCache>
                <c:formatCode>0.00</c:formatCode>
                <c:ptCount val="1"/>
                <c:pt idx="0">
                  <c:v>80.93964858670742</c:v>
                </c:pt>
              </c:numCache>
            </c:numRef>
          </c:yVal>
          <c:smooth val="0"/>
        </c:ser>
        <c:ser>
          <c:idx val="9"/>
          <c:order val="8"/>
          <c:tx>
            <c:strRef>
              <c:f>'Mineral dual thresh'!$C$29</c:f>
              <c:strCache>
                <c:ptCount val="1"/>
                <c:pt idx="0">
                  <c:v>F2935H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  <c:spPr>
              <a:solidFill>
                <a:schemeClr val="accent3">
                  <a:lumMod val="60000"/>
                  <a:lumOff val="40000"/>
                </a:schemeClr>
              </a:solidFill>
            </c:spPr>
          </c:marker>
          <c:xVal>
            <c:numRef>
              <c:f>'Mineral dual thresh'!$G$29</c:f>
              <c:numCache>
                <c:formatCode>0.0</c:formatCode>
                <c:ptCount val="1"/>
                <c:pt idx="0">
                  <c:v>9</c:v>
                </c:pt>
              </c:numCache>
            </c:numRef>
          </c:xVal>
          <c:yVal>
            <c:numRef>
              <c:f>'Mineral dual thresh'!$Y$5</c:f>
              <c:numCache>
                <c:formatCode>0.00</c:formatCode>
                <c:ptCount val="1"/>
                <c:pt idx="0">
                  <c:v>74.828113063407173</c:v>
                </c:pt>
              </c:numCache>
            </c:numRef>
          </c:yVal>
          <c:smooth val="0"/>
        </c:ser>
        <c:ser>
          <c:idx val="10"/>
          <c:order val="9"/>
          <c:tx>
            <c:strRef>
              <c:f>'Mineral dual thresh'!$C$30</c:f>
              <c:strCache>
                <c:ptCount val="1"/>
                <c:pt idx="0">
                  <c:v>F2870H(6mm)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  <c:spPr>
              <a:solidFill>
                <a:schemeClr val="accent4">
                  <a:lumMod val="60000"/>
                  <a:lumOff val="40000"/>
                </a:schemeClr>
              </a:solidFill>
            </c:spPr>
          </c:marker>
          <c:xVal>
            <c:numRef>
              <c:f>'Mineral dual thresh'!$G$30</c:f>
              <c:numCache>
                <c:formatCode>0.0</c:formatCode>
                <c:ptCount val="1"/>
                <c:pt idx="0">
                  <c:v>6</c:v>
                </c:pt>
              </c:numCache>
            </c:numRef>
          </c:xVal>
          <c:yVal>
            <c:numRef>
              <c:f>'Mineral dual thresh'!$Z$5</c:f>
              <c:numCache>
                <c:formatCode>0.00</c:formatCode>
                <c:ptCount val="1"/>
                <c:pt idx="0">
                  <c:v>95.340547422024187</c:v>
                </c:pt>
              </c:numCache>
            </c:numRef>
          </c:yVal>
          <c:smooth val="0"/>
        </c:ser>
        <c:ser>
          <c:idx val="1"/>
          <c:order val="10"/>
          <c:tx>
            <c:v>"Equality"</c:v>
          </c:tx>
          <c:spPr>
            <a:ln w="19050">
              <a:solidFill>
                <a:schemeClr val="accent1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154176"/>
        <c:axId val="223156096"/>
      </c:scatterChart>
      <c:valAx>
        <c:axId val="223154176"/>
        <c:scaling>
          <c:orientation val="minMax"/>
          <c:max val="100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/>
                  <a:t>Quartz (%) - XRD and Rietveld Method</a:t>
                </a:r>
              </a:p>
            </c:rich>
          </c:tx>
          <c:layout/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223156096"/>
        <c:crosses val="autoZero"/>
        <c:crossBetween val="midCat"/>
        <c:majorUnit val="10"/>
      </c:valAx>
      <c:valAx>
        <c:axId val="223156096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/>
                  <a:t>Solid 1 (%)</a:t>
                </a:r>
                <a:r>
                  <a:rPr lang="en-US" sz="1400" baseline="0"/>
                  <a:t> - Micro CT Multithreshold</a:t>
                </a:r>
                <a:endParaRPr lang="en-US" sz="1400"/>
              </a:p>
            </c:rich>
          </c:tx>
          <c:layout/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223154176"/>
        <c:crosses val="autoZero"/>
        <c:crossBetween val="midCat"/>
        <c:majorUnit val="10"/>
      </c:valAx>
    </c:plotArea>
    <c:legend>
      <c:legendPos val="r"/>
      <c:layout>
        <c:manualLayout>
          <c:xMode val="edge"/>
          <c:yMode val="edge"/>
          <c:x val="0.73566631871683197"/>
          <c:y val="0.14509702086303891"/>
          <c:w val="0.2365081277847072"/>
          <c:h val="0.69056333073581511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Is Calcite+Dolomite </a:t>
            </a:r>
            <a:r>
              <a:rPr lang="en-US" baseline="0"/>
              <a:t>the "Solid 2" in Micro CT data?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2315467909061459"/>
          <c:y val="0.11860535488475409"/>
          <c:w val="0.5846469613337486"/>
          <c:h val="0.73113378972871002"/>
        </c:manualLayout>
      </c:layout>
      <c:scatterChart>
        <c:scatterStyle val="lineMarker"/>
        <c:varyColors val="0"/>
        <c:ser>
          <c:idx val="0"/>
          <c:order val="0"/>
          <c:tx>
            <c:strRef>
              <c:f>'Mineral dual thresh'!$C$21</c:f>
              <c:strCache>
                <c:ptCount val="1"/>
                <c:pt idx="0">
                  <c:v>F2829V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</c:marker>
          <c:xVal>
            <c:numRef>
              <c:f>'Mineral dual thresh'!$H$21</c:f>
              <c:numCache>
                <c:formatCode>0.0</c:formatCode>
                <c:ptCount val="1"/>
                <c:pt idx="0">
                  <c:v>91</c:v>
                </c:pt>
              </c:numCache>
            </c:numRef>
          </c:xVal>
          <c:yVal>
            <c:numRef>
              <c:f>'Mineral dual thresh'!$Q$6</c:f>
              <c:numCache>
                <c:formatCode>0.00</c:formatCode>
                <c:ptCount val="1"/>
                <c:pt idx="0">
                  <c:v>50.53475935828876</c:v>
                </c:pt>
              </c:numCache>
            </c:numRef>
          </c:yVal>
          <c:smooth val="0"/>
        </c:ser>
        <c:ser>
          <c:idx val="2"/>
          <c:order val="1"/>
          <c:tx>
            <c:strRef>
              <c:f>'Mineral dual thresh'!$C$22</c:f>
              <c:strCache>
                <c:ptCount val="1"/>
                <c:pt idx="0">
                  <c:v>F2830H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</c:marker>
          <c:xVal>
            <c:numRef>
              <c:f>'Mineral dual thresh'!$H$22</c:f>
              <c:numCache>
                <c:formatCode>0.0</c:formatCode>
                <c:ptCount val="1"/>
                <c:pt idx="0">
                  <c:v>30</c:v>
                </c:pt>
              </c:numCache>
            </c:numRef>
          </c:xVal>
          <c:yVal>
            <c:numRef>
              <c:f>'Mineral dual thresh'!$R$6</c:f>
              <c:numCache>
                <c:formatCode>0.00</c:formatCode>
                <c:ptCount val="1"/>
                <c:pt idx="0">
                  <c:v>5.3121364870104699</c:v>
                </c:pt>
              </c:numCache>
            </c:numRef>
          </c:yVal>
          <c:smooth val="0"/>
        </c:ser>
        <c:ser>
          <c:idx val="3"/>
          <c:order val="2"/>
          <c:tx>
            <c:strRef>
              <c:f>'Mineral dual thresh'!$C$23</c:f>
              <c:strCache>
                <c:ptCount val="1"/>
                <c:pt idx="0">
                  <c:v>F2852H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</c:marker>
          <c:xVal>
            <c:numRef>
              <c:f>'Mineral dual thresh'!$H$23</c:f>
              <c:numCache>
                <c:formatCode>0.0</c:formatCode>
                <c:ptCount val="1"/>
                <c:pt idx="0">
                  <c:v>75</c:v>
                </c:pt>
              </c:numCache>
            </c:numRef>
          </c:xVal>
          <c:yVal>
            <c:numRef>
              <c:f>'Mineral dual thresh'!$S$6</c:f>
              <c:numCache>
                <c:formatCode>0.00</c:formatCode>
                <c:ptCount val="1"/>
                <c:pt idx="0">
                  <c:v>79.335370511841106</c:v>
                </c:pt>
              </c:numCache>
            </c:numRef>
          </c:yVal>
          <c:smooth val="0"/>
        </c:ser>
        <c:ser>
          <c:idx val="4"/>
          <c:order val="3"/>
          <c:tx>
            <c:strRef>
              <c:f>'Mineral dual thresh'!$C$24</c:f>
              <c:strCache>
                <c:ptCount val="1"/>
                <c:pt idx="0">
                  <c:v>F2854H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</c:marker>
          <c:xVal>
            <c:numRef>
              <c:f>'Mineral dual thresh'!$H$24</c:f>
              <c:numCache>
                <c:formatCode>0.0</c:formatCode>
                <c:ptCount val="1"/>
                <c:pt idx="0">
                  <c:v>94</c:v>
                </c:pt>
              </c:numCache>
            </c:numRef>
          </c:xVal>
          <c:yVal>
            <c:numRef>
              <c:f>'Mineral dual thresh'!$T$6</c:f>
              <c:numCache>
                <c:formatCode>0.00</c:formatCode>
                <c:ptCount val="1"/>
                <c:pt idx="0">
                  <c:v>2.2663610898905024</c:v>
                </c:pt>
              </c:numCache>
            </c:numRef>
          </c:yVal>
          <c:smooth val="0"/>
        </c:ser>
        <c:ser>
          <c:idx val="5"/>
          <c:order val="4"/>
          <c:tx>
            <c:strRef>
              <c:f>'Mineral dual thresh'!$C$25</c:f>
              <c:strCache>
                <c:ptCount val="1"/>
                <c:pt idx="0">
                  <c:v>F2859H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  <c:spPr>
              <a:solidFill>
                <a:schemeClr val="accent1">
                  <a:lumMod val="60000"/>
                  <a:lumOff val="40000"/>
                </a:schemeClr>
              </a:solidFill>
            </c:spPr>
          </c:marker>
          <c:xVal>
            <c:numRef>
              <c:f>'Mineral dual thresh'!$H$25</c:f>
              <c:numCache>
                <c:formatCode>0.0</c:formatCode>
                <c:ptCount val="1"/>
                <c:pt idx="0">
                  <c:v>82</c:v>
                </c:pt>
              </c:numCache>
            </c:numRef>
          </c:xVal>
          <c:yVal>
            <c:numRef>
              <c:f>'Mineral dual thresh'!$U$6</c:f>
              <c:numCache>
                <c:formatCode>0.00</c:formatCode>
                <c:ptCount val="1"/>
                <c:pt idx="0">
                  <c:v>68.220015278838801</c:v>
                </c:pt>
              </c:numCache>
            </c:numRef>
          </c:yVal>
          <c:smooth val="0"/>
        </c:ser>
        <c:ser>
          <c:idx val="6"/>
          <c:order val="5"/>
          <c:tx>
            <c:strRef>
              <c:f>'Mineral dual thresh'!$C$26</c:f>
              <c:strCache>
                <c:ptCount val="1"/>
                <c:pt idx="0">
                  <c:v>F2880H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  <c:spPr>
              <a:solidFill>
                <a:schemeClr val="accent2">
                  <a:lumMod val="75000"/>
                </a:schemeClr>
              </a:solidFill>
            </c:spPr>
          </c:marker>
          <c:xVal>
            <c:numRef>
              <c:f>'Mineral dual thresh'!$H$26</c:f>
              <c:numCache>
                <c:formatCode>0.0</c:formatCode>
                <c:ptCount val="1"/>
                <c:pt idx="0">
                  <c:v>83</c:v>
                </c:pt>
              </c:numCache>
            </c:numRef>
          </c:xVal>
          <c:yVal>
            <c:numRef>
              <c:f>'Mineral dual thresh'!$V$6</c:f>
              <c:numCache>
                <c:formatCode>0.00</c:formatCode>
                <c:ptCount val="1"/>
                <c:pt idx="0">
                  <c:v>58.467023172905527</c:v>
                </c:pt>
              </c:numCache>
            </c:numRef>
          </c:yVal>
          <c:smooth val="0"/>
        </c:ser>
        <c:ser>
          <c:idx val="7"/>
          <c:order val="6"/>
          <c:tx>
            <c:strRef>
              <c:f>'Mineral dual thresh'!$C$27</c:f>
              <c:strCache>
                <c:ptCount val="1"/>
                <c:pt idx="0">
                  <c:v>F2910H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  <c:spPr>
              <a:solidFill>
                <a:schemeClr val="accent6"/>
              </a:solidFill>
            </c:spPr>
          </c:marker>
          <c:xVal>
            <c:numRef>
              <c:f>'Mineral dual thresh'!$H$27</c:f>
              <c:numCache>
                <c:formatCode>0.0</c:formatCode>
                <c:ptCount val="1"/>
                <c:pt idx="0">
                  <c:v>93</c:v>
                </c:pt>
              </c:numCache>
            </c:numRef>
          </c:xVal>
          <c:yVal>
            <c:numRef>
              <c:f>'Mineral dual thresh'!$W$6</c:f>
              <c:numCache>
                <c:formatCode>0.00</c:formatCode>
                <c:ptCount val="1"/>
                <c:pt idx="0">
                  <c:v>74.386503067484668</c:v>
                </c:pt>
              </c:numCache>
            </c:numRef>
          </c:yVal>
          <c:smooth val="0"/>
        </c:ser>
        <c:ser>
          <c:idx val="8"/>
          <c:order val="7"/>
          <c:tx>
            <c:strRef>
              <c:f>'Mineral dual thresh'!$C$28</c:f>
              <c:strCache>
                <c:ptCount val="1"/>
                <c:pt idx="0">
                  <c:v>F2911V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  <c:spPr>
              <a:solidFill>
                <a:schemeClr val="accent2">
                  <a:lumMod val="60000"/>
                  <a:lumOff val="40000"/>
                </a:schemeClr>
              </a:solidFill>
            </c:spPr>
          </c:marker>
          <c:xVal>
            <c:numRef>
              <c:f>'Mineral dual thresh'!$H$28</c:f>
              <c:numCache>
                <c:formatCode>0.0</c:formatCode>
                <c:ptCount val="1"/>
                <c:pt idx="0">
                  <c:v>88</c:v>
                </c:pt>
              </c:numCache>
            </c:numRef>
          </c:xVal>
          <c:yVal>
            <c:numRef>
              <c:f>'Mineral dual thresh'!$X$6</c:f>
              <c:numCache>
                <c:formatCode>0.00</c:formatCode>
                <c:ptCount val="1"/>
                <c:pt idx="0">
                  <c:v>4.1634835752482813</c:v>
                </c:pt>
              </c:numCache>
            </c:numRef>
          </c:yVal>
          <c:smooth val="0"/>
        </c:ser>
        <c:ser>
          <c:idx val="9"/>
          <c:order val="8"/>
          <c:tx>
            <c:strRef>
              <c:f>'Mineral dual thresh'!$C$29</c:f>
              <c:strCache>
                <c:ptCount val="1"/>
                <c:pt idx="0">
                  <c:v>F2935H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  <c:spPr>
              <a:solidFill>
                <a:schemeClr val="accent3">
                  <a:lumMod val="60000"/>
                  <a:lumOff val="40000"/>
                </a:schemeClr>
              </a:solidFill>
            </c:spPr>
          </c:marker>
          <c:xVal>
            <c:numRef>
              <c:f>'Mineral dual thresh'!$H$29</c:f>
              <c:numCache>
                <c:formatCode>0.0</c:formatCode>
                <c:ptCount val="1"/>
                <c:pt idx="0">
                  <c:v>91</c:v>
                </c:pt>
              </c:numCache>
            </c:numRef>
          </c:xVal>
          <c:yVal>
            <c:numRef>
              <c:f>'Mineral dual thresh'!$Y$6</c:f>
              <c:numCache>
                <c:formatCode>0.00</c:formatCode>
                <c:ptCount val="1"/>
                <c:pt idx="0">
                  <c:v>7.2065189712248543</c:v>
                </c:pt>
              </c:numCache>
            </c:numRef>
          </c:yVal>
          <c:smooth val="0"/>
        </c:ser>
        <c:ser>
          <c:idx val="10"/>
          <c:order val="9"/>
          <c:tx>
            <c:strRef>
              <c:f>'Mineral dual thresh'!$C$30</c:f>
              <c:strCache>
                <c:ptCount val="1"/>
                <c:pt idx="0">
                  <c:v>F2870H(6mm)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  <c:spPr>
              <a:solidFill>
                <a:schemeClr val="accent4">
                  <a:lumMod val="60000"/>
                  <a:lumOff val="40000"/>
                </a:schemeClr>
              </a:solidFill>
            </c:spPr>
          </c:marker>
          <c:xVal>
            <c:numRef>
              <c:f>'Mineral dual thresh'!$H$30</c:f>
              <c:numCache>
                <c:formatCode>0.0</c:formatCode>
                <c:ptCount val="1"/>
                <c:pt idx="0">
                  <c:v>94</c:v>
                </c:pt>
              </c:numCache>
            </c:numRef>
          </c:xVal>
          <c:yVal>
            <c:numRef>
              <c:f>'Mineral dual thresh'!$Z$6</c:f>
              <c:numCache>
                <c:formatCode>0.00</c:formatCode>
                <c:ptCount val="1"/>
                <c:pt idx="0">
                  <c:v>4.1756842775302356</c:v>
                </c:pt>
              </c:numCache>
            </c:numRef>
          </c:yVal>
          <c:smooth val="0"/>
        </c:ser>
        <c:ser>
          <c:idx val="1"/>
          <c:order val="10"/>
          <c:tx>
            <c:v>"Equality"</c:v>
          </c:tx>
          <c:spPr>
            <a:ln w="19050">
              <a:solidFill>
                <a:schemeClr val="accent1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021312"/>
        <c:axId val="223043968"/>
      </c:scatterChart>
      <c:valAx>
        <c:axId val="223021312"/>
        <c:scaling>
          <c:orientation val="minMax"/>
          <c:max val="100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/>
                  <a:t>Calcite+Dolomite (%) - XRD and Rietveld Method</a:t>
                </a:r>
              </a:p>
            </c:rich>
          </c:tx>
          <c:layout/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223043968"/>
        <c:crosses val="autoZero"/>
        <c:crossBetween val="midCat"/>
        <c:majorUnit val="10"/>
      </c:valAx>
      <c:valAx>
        <c:axId val="223043968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/>
                  <a:t>Solid 2 (%)</a:t>
                </a:r>
                <a:r>
                  <a:rPr lang="en-US" sz="1400" baseline="0"/>
                  <a:t> - Micro CT Multithreshold</a:t>
                </a:r>
                <a:endParaRPr lang="en-US" sz="1400"/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223021312"/>
        <c:crosses val="autoZero"/>
        <c:crossBetween val="midCat"/>
        <c:majorUnit val="10"/>
      </c:valAx>
    </c:plotArea>
    <c:legend>
      <c:legendPos val="r"/>
      <c:layout>
        <c:manualLayout>
          <c:xMode val="edge"/>
          <c:yMode val="edge"/>
          <c:x val="0.73566631871683197"/>
          <c:y val="0.14509702086303891"/>
          <c:w val="0.2365081277847072"/>
          <c:h val="0.69056333073581511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Is Quartz+Calcite </a:t>
            </a:r>
            <a:r>
              <a:rPr lang="en-US" baseline="0"/>
              <a:t>the "Solid 1" in Micro CT data?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2315467909061459"/>
          <c:y val="0.11860535488475409"/>
          <c:w val="0.5846469613337486"/>
          <c:h val="0.73113378972871002"/>
        </c:manualLayout>
      </c:layout>
      <c:scatterChart>
        <c:scatterStyle val="lineMarker"/>
        <c:varyColors val="0"/>
        <c:ser>
          <c:idx val="0"/>
          <c:order val="0"/>
          <c:tx>
            <c:strRef>
              <c:f>'Mineral dual thresh'!$C$21</c:f>
              <c:strCache>
                <c:ptCount val="1"/>
                <c:pt idx="0">
                  <c:v>F2829V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</c:marker>
          <c:xVal>
            <c:numRef>
              <c:f>'Mineral dual thresh'!$I$21</c:f>
              <c:numCache>
                <c:formatCode>0.0</c:formatCode>
                <c:ptCount val="1"/>
                <c:pt idx="0">
                  <c:v>87</c:v>
                </c:pt>
              </c:numCache>
            </c:numRef>
          </c:xVal>
          <c:yVal>
            <c:numRef>
              <c:f>'Mineral dual thresh'!$Q$5</c:f>
              <c:numCache>
                <c:formatCode>0.00</c:formatCode>
                <c:ptCount val="1"/>
                <c:pt idx="0">
                  <c:v>49.45250827603769</c:v>
                </c:pt>
              </c:numCache>
            </c:numRef>
          </c:yVal>
          <c:smooth val="0"/>
        </c:ser>
        <c:ser>
          <c:idx val="2"/>
          <c:order val="1"/>
          <c:tx>
            <c:strRef>
              <c:f>'Mineral dual thresh'!$C$22</c:f>
              <c:strCache>
                <c:ptCount val="1"/>
                <c:pt idx="0">
                  <c:v>F2830H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</c:marker>
          <c:xVal>
            <c:numRef>
              <c:f>'Mineral dual thresh'!$I$22</c:f>
              <c:numCache>
                <c:formatCode>0.0</c:formatCode>
                <c:ptCount val="1"/>
                <c:pt idx="0">
                  <c:v>94</c:v>
                </c:pt>
              </c:numCache>
            </c:numRef>
          </c:xVal>
          <c:yVal>
            <c:numRef>
              <c:f>'Mineral dual thresh'!$R$5</c:f>
              <c:numCache>
                <c:formatCode>0.00</c:formatCode>
                <c:ptCount val="1"/>
                <c:pt idx="0">
                  <c:v>88.354659428719145</c:v>
                </c:pt>
              </c:numCache>
            </c:numRef>
          </c:yVal>
          <c:smooth val="0"/>
        </c:ser>
        <c:ser>
          <c:idx val="3"/>
          <c:order val="2"/>
          <c:tx>
            <c:strRef>
              <c:f>'Mineral dual thresh'!$C$23</c:f>
              <c:strCache>
                <c:ptCount val="1"/>
                <c:pt idx="0">
                  <c:v>F2852H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</c:marker>
          <c:xVal>
            <c:numRef>
              <c:f>'Mineral dual thresh'!$I$23</c:f>
              <c:numCache>
                <c:formatCode>0.0</c:formatCode>
                <c:ptCount val="1"/>
                <c:pt idx="0">
                  <c:v>57</c:v>
                </c:pt>
              </c:numCache>
            </c:numRef>
          </c:xVal>
          <c:yVal>
            <c:numRef>
              <c:f>'Mineral dual thresh'!$S$5</c:f>
              <c:numCache>
                <c:formatCode>0.00</c:formatCode>
                <c:ptCount val="1"/>
                <c:pt idx="0">
                  <c:v>17.608861726508785</c:v>
                </c:pt>
              </c:numCache>
            </c:numRef>
          </c:yVal>
          <c:smooth val="0"/>
        </c:ser>
        <c:ser>
          <c:idx val="4"/>
          <c:order val="3"/>
          <c:tx>
            <c:strRef>
              <c:f>'Mineral dual thresh'!$C$24</c:f>
              <c:strCache>
                <c:ptCount val="1"/>
                <c:pt idx="0">
                  <c:v>F2854H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</c:marker>
          <c:xVal>
            <c:numRef>
              <c:f>'Mineral dual thresh'!$I$24</c:f>
              <c:numCache>
                <c:formatCode>0.0</c:formatCode>
                <c:ptCount val="1"/>
                <c:pt idx="0">
                  <c:v>75</c:v>
                </c:pt>
              </c:numCache>
            </c:numRef>
          </c:xVal>
          <c:yVal>
            <c:numRef>
              <c:f>'Mineral dual thresh'!$T$5</c:f>
              <c:numCache>
                <c:formatCode>0.00</c:formatCode>
                <c:ptCount val="1"/>
                <c:pt idx="0">
                  <c:v>93.786605551311439</c:v>
                </c:pt>
              </c:numCache>
            </c:numRef>
          </c:yVal>
          <c:smooth val="0"/>
        </c:ser>
        <c:ser>
          <c:idx val="5"/>
          <c:order val="4"/>
          <c:tx>
            <c:strRef>
              <c:f>'Mineral dual thresh'!$C$25</c:f>
              <c:strCache>
                <c:ptCount val="1"/>
                <c:pt idx="0">
                  <c:v>F2859H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  <c:spPr>
              <a:solidFill>
                <a:schemeClr val="accent1">
                  <a:lumMod val="60000"/>
                  <a:lumOff val="40000"/>
                </a:schemeClr>
              </a:solidFill>
            </c:spPr>
          </c:marker>
          <c:xVal>
            <c:numRef>
              <c:f>'Mineral dual thresh'!$I$25</c:f>
              <c:numCache>
                <c:formatCode>0.0</c:formatCode>
                <c:ptCount val="1"/>
                <c:pt idx="0">
                  <c:v>80</c:v>
                </c:pt>
              </c:numCache>
            </c:numRef>
          </c:xVal>
          <c:yVal>
            <c:numRef>
              <c:f>'Mineral dual thresh'!$U$5</c:f>
              <c:numCache>
                <c:formatCode>0.00</c:formatCode>
                <c:ptCount val="1"/>
                <c:pt idx="0">
                  <c:v>26.776165011459131</c:v>
                </c:pt>
              </c:numCache>
            </c:numRef>
          </c:yVal>
          <c:smooth val="0"/>
        </c:ser>
        <c:ser>
          <c:idx val="6"/>
          <c:order val="5"/>
          <c:tx>
            <c:strRef>
              <c:f>'Mineral dual thresh'!$C$26</c:f>
              <c:strCache>
                <c:ptCount val="1"/>
                <c:pt idx="0">
                  <c:v>F2880H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  <c:spPr>
              <a:solidFill>
                <a:schemeClr val="accent2">
                  <a:lumMod val="75000"/>
                </a:schemeClr>
              </a:solidFill>
            </c:spPr>
          </c:marker>
          <c:xVal>
            <c:numRef>
              <c:f>'Mineral dual thresh'!$I$26</c:f>
              <c:numCache>
                <c:formatCode>0.0</c:formatCode>
                <c:ptCount val="1"/>
                <c:pt idx="0">
                  <c:v>46</c:v>
                </c:pt>
              </c:numCache>
            </c:numRef>
          </c:xVal>
          <c:yVal>
            <c:numRef>
              <c:f>'Mineral dual thresh'!$V$5</c:f>
              <c:numCache>
                <c:formatCode>0.00</c:formatCode>
                <c:ptCount val="1"/>
                <c:pt idx="0">
                  <c:v>29.691876750700281</c:v>
                </c:pt>
              </c:numCache>
            </c:numRef>
          </c:yVal>
          <c:smooth val="0"/>
        </c:ser>
        <c:ser>
          <c:idx val="7"/>
          <c:order val="6"/>
          <c:tx>
            <c:strRef>
              <c:f>'Mineral dual thresh'!$C$27</c:f>
              <c:strCache>
                <c:ptCount val="1"/>
                <c:pt idx="0">
                  <c:v>F2910H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  <c:spPr>
              <a:solidFill>
                <a:schemeClr val="accent6"/>
              </a:solidFill>
            </c:spPr>
          </c:marker>
          <c:xVal>
            <c:numRef>
              <c:f>'Mineral dual thresh'!$I$27</c:f>
              <c:numCache>
                <c:formatCode>0.0</c:formatCode>
                <c:ptCount val="1"/>
                <c:pt idx="0">
                  <c:v>67</c:v>
                </c:pt>
              </c:numCache>
            </c:numRef>
          </c:xVal>
          <c:yVal>
            <c:numRef>
              <c:f>'Mineral dual thresh'!$W$5</c:f>
              <c:numCache>
                <c:formatCode>0.00</c:formatCode>
                <c:ptCount val="1"/>
                <c:pt idx="0">
                  <c:v>13.637525562372188</c:v>
                </c:pt>
              </c:numCache>
            </c:numRef>
          </c:yVal>
          <c:smooth val="0"/>
        </c:ser>
        <c:ser>
          <c:idx val="8"/>
          <c:order val="7"/>
          <c:tx>
            <c:strRef>
              <c:f>'Mineral dual thresh'!$C$28</c:f>
              <c:strCache>
                <c:ptCount val="1"/>
                <c:pt idx="0">
                  <c:v>F2911V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  <c:spPr>
              <a:solidFill>
                <a:schemeClr val="accent2">
                  <a:lumMod val="60000"/>
                  <a:lumOff val="40000"/>
                </a:schemeClr>
              </a:solidFill>
            </c:spPr>
          </c:marker>
          <c:xVal>
            <c:numRef>
              <c:f>'Mineral dual thresh'!$I$28</c:f>
              <c:numCache>
                <c:formatCode>0.0</c:formatCode>
                <c:ptCount val="1"/>
                <c:pt idx="0">
                  <c:v>66</c:v>
                </c:pt>
              </c:numCache>
            </c:numRef>
          </c:xVal>
          <c:yVal>
            <c:numRef>
              <c:f>'Mineral dual thresh'!$X$5</c:f>
              <c:numCache>
                <c:formatCode>0.00</c:formatCode>
                <c:ptCount val="1"/>
                <c:pt idx="0">
                  <c:v>80.93964858670742</c:v>
                </c:pt>
              </c:numCache>
            </c:numRef>
          </c:yVal>
          <c:smooth val="0"/>
        </c:ser>
        <c:ser>
          <c:idx val="9"/>
          <c:order val="8"/>
          <c:tx>
            <c:strRef>
              <c:f>'Mineral dual thresh'!$C$29</c:f>
              <c:strCache>
                <c:ptCount val="1"/>
                <c:pt idx="0">
                  <c:v>F2935H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  <c:spPr>
              <a:solidFill>
                <a:schemeClr val="accent3">
                  <a:lumMod val="60000"/>
                  <a:lumOff val="40000"/>
                </a:schemeClr>
              </a:solidFill>
            </c:spPr>
          </c:marker>
          <c:xVal>
            <c:numRef>
              <c:f>'Mineral dual thresh'!$I$29</c:f>
              <c:numCache>
                <c:formatCode>0.0</c:formatCode>
                <c:ptCount val="1"/>
                <c:pt idx="0">
                  <c:v>60</c:v>
                </c:pt>
              </c:numCache>
            </c:numRef>
          </c:xVal>
          <c:yVal>
            <c:numRef>
              <c:f>'Mineral dual thresh'!$Y$5</c:f>
              <c:numCache>
                <c:formatCode>0.00</c:formatCode>
                <c:ptCount val="1"/>
                <c:pt idx="0">
                  <c:v>74.828113063407173</c:v>
                </c:pt>
              </c:numCache>
            </c:numRef>
          </c:yVal>
          <c:smooth val="0"/>
        </c:ser>
        <c:ser>
          <c:idx val="10"/>
          <c:order val="9"/>
          <c:tx>
            <c:strRef>
              <c:f>'Mineral dual thresh'!$C$30</c:f>
              <c:strCache>
                <c:ptCount val="1"/>
                <c:pt idx="0">
                  <c:v>F2870H(6mm)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  <c:spPr>
              <a:solidFill>
                <a:schemeClr val="accent4">
                  <a:lumMod val="60000"/>
                  <a:lumOff val="40000"/>
                </a:schemeClr>
              </a:solidFill>
            </c:spPr>
          </c:marker>
          <c:xVal>
            <c:numRef>
              <c:f>'Mineral dual thresh'!$I$30</c:f>
              <c:numCache>
                <c:formatCode>0.0</c:formatCode>
                <c:ptCount val="1"/>
                <c:pt idx="0">
                  <c:v>78</c:v>
                </c:pt>
              </c:numCache>
            </c:numRef>
          </c:xVal>
          <c:yVal>
            <c:numRef>
              <c:f>'Mineral dual thresh'!$Z$5</c:f>
              <c:numCache>
                <c:formatCode>0.00</c:formatCode>
                <c:ptCount val="1"/>
                <c:pt idx="0">
                  <c:v>95.340547422024187</c:v>
                </c:pt>
              </c:numCache>
            </c:numRef>
          </c:yVal>
          <c:smooth val="0"/>
        </c:ser>
        <c:ser>
          <c:idx val="1"/>
          <c:order val="10"/>
          <c:tx>
            <c:v>"Equality"</c:v>
          </c:tx>
          <c:spPr>
            <a:ln w="19050">
              <a:solidFill>
                <a:schemeClr val="accent1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228672"/>
        <c:axId val="223230592"/>
      </c:scatterChart>
      <c:valAx>
        <c:axId val="223228672"/>
        <c:scaling>
          <c:orientation val="minMax"/>
          <c:max val="100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/>
                  <a:t>Quartz+Calcite (%) - XRD and Rietveld Method</a:t>
                </a:r>
              </a:p>
            </c:rich>
          </c:tx>
          <c:layout/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223230592"/>
        <c:crosses val="autoZero"/>
        <c:crossBetween val="midCat"/>
        <c:majorUnit val="10"/>
      </c:valAx>
      <c:valAx>
        <c:axId val="223230592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/>
                  <a:t>Solid 1 (%)</a:t>
                </a:r>
                <a:r>
                  <a:rPr lang="en-US" sz="1400" baseline="0"/>
                  <a:t> - Micro CT Multithreshold</a:t>
                </a:r>
                <a:endParaRPr lang="en-US" sz="1400"/>
              </a:p>
            </c:rich>
          </c:tx>
          <c:layout/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223228672"/>
        <c:crosses val="autoZero"/>
        <c:crossBetween val="midCat"/>
        <c:majorUnit val="10"/>
      </c:valAx>
    </c:plotArea>
    <c:legend>
      <c:legendPos val="r"/>
      <c:layout>
        <c:manualLayout>
          <c:xMode val="edge"/>
          <c:yMode val="edge"/>
          <c:x val="0.73566631871683197"/>
          <c:y val="0.14509702086303891"/>
          <c:w val="0.2365081277847072"/>
          <c:h val="0.69056333073581511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Is Dolomite </a:t>
            </a:r>
            <a:r>
              <a:rPr lang="en-US" baseline="0"/>
              <a:t>the "Solid 2" in Micro CT data?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2315467909061459"/>
          <c:y val="0.11860535488475409"/>
          <c:w val="0.5846469613337486"/>
          <c:h val="0.73113378972871002"/>
        </c:manualLayout>
      </c:layout>
      <c:scatterChart>
        <c:scatterStyle val="lineMarker"/>
        <c:varyColors val="0"/>
        <c:ser>
          <c:idx val="0"/>
          <c:order val="0"/>
          <c:tx>
            <c:strRef>
              <c:f>'Mineral dual thresh'!$C$21</c:f>
              <c:strCache>
                <c:ptCount val="1"/>
                <c:pt idx="0">
                  <c:v>F2829V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</c:marker>
          <c:xVal>
            <c:numRef>
              <c:f>'Mineral dual thresh'!$J$21</c:f>
              <c:numCache>
                <c:formatCode>0.0</c:formatCode>
                <c:ptCount val="1"/>
                <c:pt idx="0">
                  <c:v>13</c:v>
                </c:pt>
              </c:numCache>
            </c:numRef>
          </c:xVal>
          <c:yVal>
            <c:numRef>
              <c:f>'Mineral dual thresh'!$Q$6</c:f>
              <c:numCache>
                <c:formatCode>0.00</c:formatCode>
                <c:ptCount val="1"/>
                <c:pt idx="0">
                  <c:v>50.53475935828876</c:v>
                </c:pt>
              </c:numCache>
            </c:numRef>
          </c:yVal>
          <c:smooth val="0"/>
        </c:ser>
        <c:ser>
          <c:idx val="2"/>
          <c:order val="1"/>
          <c:tx>
            <c:strRef>
              <c:f>'Mineral dual thresh'!$C$22</c:f>
              <c:strCache>
                <c:ptCount val="1"/>
                <c:pt idx="0">
                  <c:v>F2830H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</c:marker>
          <c:xVal>
            <c:numRef>
              <c:f>'Mineral dual thresh'!$J$22</c:f>
              <c:numCache>
                <c:formatCode>0.0</c:formatCode>
                <c:ptCount val="1"/>
                <c:pt idx="0">
                  <c:v>6</c:v>
                </c:pt>
              </c:numCache>
            </c:numRef>
          </c:xVal>
          <c:yVal>
            <c:numRef>
              <c:f>'Mineral dual thresh'!$R$6</c:f>
              <c:numCache>
                <c:formatCode>0.00</c:formatCode>
                <c:ptCount val="1"/>
                <c:pt idx="0">
                  <c:v>5.3121364870104699</c:v>
                </c:pt>
              </c:numCache>
            </c:numRef>
          </c:yVal>
          <c:smooth val="0"/>
        </c:ser>
        <c:ser>
          <c:idx val="3"/>
          <c:order val="2"/>
          <c:tx>
            <c:strRef>
              <c:f>'Mineral dual thresh'!$C$23</c:f>
              <c:strCache>
                <c:ptCount val="1"/>
                <c:pt idx="0">
                  <c:v>F2852H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</c:marker>
          <c:xVal>
            <c:numRef>
              <c:f>'Mineral dual thresh'!$J$23</c:f>
              <c:numCache>
                <c:formatCode>0.0</c:formatCode>
                <c:ptCount val="1"/>
                <c:pt idx="0">
                  <c:v>43</c:v>
                </c:pt>
              </c:numCache>
            </c:numRef>
          </c:xVal>
          <c:yVal>
            <c:numRef>
              <c:f>'Mineral dual thresh'!$S$6</c:f>
              <c:numCache>
                <c:formatCode>0.00</c:formatCode>
                <c:ptCount val="1"/>
                <c:pt idx="0">
                  <c:v>79.335370511841106</c:v>
                </c:pt>
              </c:numCache>
            </c:numRef>
          </c:yVal>
          <c:smooth val="0"/>
        </c:ser>
        <c:ser>
          <c:idx val="4"/>
          <c:order val="3"/>
          <c:tx>
            <c:strRef>
              <c:f>'Mineral dual thresh'!$C$24</c:f>
              <c:strCache>
                <c:ptCount val="1"/>
                <c:pt idx="0">
                  <c:v>F2854H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</c:marker>
          <c:xVal>
            <c:numRef>
              <c:f>'Mineral dual thresh'!$J$24</c:f>
              <c:numCache>
                <c:formatCode>0.0</c:formatCode>
                <c:ptCount val="1"/>
                <c:pt idx="0">
                  <c:v>25</c:v>
                </c:pt>
              </c:numCache>
            </c:numRef>
          </c:xVal>
          <c:yVal>
            <c:numRef>
              <c:f>'Mineral dual thresh'!$T$6</c:f>
              <c:numCache>
                <c:formatCode>0.00</c:formatCode>
                <c:ptCount val="1"/>
                <c:pt idx="0">
                  <c:v>2.2663610898905024</c:v>
                </c:pt>
              </c:numCache>
            </c:numRef>
          </c:yVal>
          <c:smooth val="0"/>
        </c:ser>
        <c:ser>
          <c:idx val="5"/>
          <c:order val="4"/>
          <c:tx>
            <c:strRef>
              <c:f>'Mineral dual thresh'!$C$25</c:f>
              <c:strCache>
                <c:ptCount val="1"/>
                <c:pt idx="0">
                  <c:v>F2859H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  <c:spPr>
              <a:solidFill>
                <a:schemeClr val="accent1">
                  <a:lumMod val="60000"/>
                  <a:lumOff val="40000"/>
                </a:schemeClr>
              </a:solidFill>
            </c:spPr>
          </c:marker>
          <c:xVal>
            <c:numRef>
              <c:f>'Mineral dual thresh'!$J$25</c:f>
              <c:numCache>
                <c:formatCode>0.0</c:formatCode>
                <c:ptCount val="1"/>
                <c:pt idx="0">
                  <c:v>20</c:v>
                </c:pt>
              </c:numCache>
            </c:numRef>
          </c:xVal>
          <c:yVal>
            <c:numRef>
              <c:f>'Mineral dual thresh'!$U$6</c:f>
              <c:numCache>
                <c:formatCode>0.00</c:formatCode>
                <c:ptCount val="1"/>
                <c:pt idx="0">
                  <c:v>68.220015278838801</c:v>
                </c:pt>
              </c:numCache>
            </c:numRef>
          </c:yVal>
          <c:smooth val="0"/>
        </c:ser>
        <c:ser>
          <c:idx val="6"/>
          <c:order val="5"/>
          <c:tx>
            <c:strRef>
              <c:f>'Mineral dual thresh'!$C$26</c:f>
              <c:strCache>
                <c:ptCount val="1"/>
                <c:pt idx="0">
                  <c:v>F2880H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  <c:spPr>
              <a:solidFill>
                <a:schemeClr val="accent2">
                  <a:lumMod val="75000"/>
                </a:schemeClr>
              </a:solidFill>
            </c:spPr>
          </c:marker>
          <c:xVal>
            <c:numRef>
              <c:f>'Mineral dual thresh'!$J$26</c:f>
              <c:numCache>
                <c:formatCode>0.0</c:formatCode>
                <c:ptCount val="1"/>
                <c:pt idx="0">
                  <c:v>54</c:v>
                </c:pt>
              </c:numCache>
            </c:numRef>
          </c:xVal>
          <c:yVal>
            <c:numRef>
              <c:f>'Mineral dual thresh'!$V$6</c:f>
              <c:numCache>
                <c:formatCode>0.00</c:formatCode>
                <c:ptCount val="1"/>
                <c:pt idx="0">
                  <c:v>58.467023172905527</c:v>
                </c:pt>
              </c:numCache>
            </c:numRef>
          </c:yVal>
          <c:smooth val="0"/>
        </c:ser>
        <c:ser>
          <c:idx val="7"/>
          <c:order val="6"/>
          <c:tx>
            <c:strRef>
              <c:f>'Mineral dual thresh'!$C$27</c:f>
              <c:strCache>
                <c:ptCount val="1"/>
                <c:pt idx="0">
                  <c:v>F2910H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  <c:spPr>
              <a:solidFill>
                <a:schemeClr val="accent6"/>
              </a:solidFill>
            </c:spPr>
          </c:marker>
          <c:xVal>
            <c:numRef>
              <c:f>'Mineral dual thresh'!$J$27</c:f>
              <c:numCache>
                <c:formatCode>0.0</c:formatCode>
                <c:ptCount val="1"/>
                <c:pt idx="0">
                  <c:v>33</c:v>
                </c:pt>
              </c:numCache>
            </c:numRef>
          </c:xVal>
          <c:yVal>
            <c:numRef>
              <c:f>'Mineral dual thresh'!$W$6</c:f>
              <c:numCache>
                <c:formatCode>0.00</c:formatCode>
                <c:ptCount val="1"/>
                <c:pt idx="0">
                  <c:v>74.386503067484668</c:v>
                </c:pt>
              </c:numCache>
            </c:numRef>
          </c:yVal>
          <c:smooth val="0"/>
        </c:ser>
        <c:ser>
          <c:idx val="8"/>
          <c:order val="7"/>
          <c:tx>
            <c:strRef>
              <c:f>'Mineral dual thresh'!$C$28</c:f>
              <c:strCache>
                <c:ptCount val="1"/>
                <c:pt idx="0">
                  <c:v>F2911V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  <c:spPr>
              <a:solidFill>
                <a:schemeClr val="accent2">
                  <a:lumMod val="60000"/>
                  <a:lumOff val="40000"/>
                </a:schemeClr>
              </a:solidFill>
            </c:spPr>
          </c:marker>
          <c:xVal>
            <c:numRef>
              <c:f>'Mineral dual thresh'!$J$28</c:f>
              <c:numCache>
                <c:formatCode>0.0</c:formatCode>
                <c:ptCount val="1"/>
                <c:pt idx="0">
                  <c:v>34</c:v>
                </c:pt>
              </c:numCache>
            </c:numRef>
          </c:xVal>
          <c:yVal>
            <c:numRef>
              <c:f>'Mineral dual thresh'!$X$6</c:f>
              <c:numCache>
                <c:formatCode>0.00</c:formatCode>
                <c:ptCount val="1"/>
                <c:pt idx="0">
                  <c:v>4.1634835752482813</c:v>
                </c:pt>
              </c:numCache>
            </c:numRef>
          </c:yVal>
          <c:smooth val="0"/>
        </c:ser>
        <c:ser>
          <c:idx val="9"/>
          <c:order val="8"/>
          <c:tx>
            <c:strRef>
              <c:f>'Mineral dual thresh'!$C$29</c:f>
              <c:strCache>
                <c:ptCount val="1"/>
                <c:pt idx="0">
                  <c:v>F2935H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  <c:spPr>
              <a:solidFill>
                <a:schemeClr val="accent3">
                  <a:lumMod val="60000"/>
                  <a:lumOff val="40000"/>
                </a:schemeClr>
              </a:solidFill>
            </c:spPr>
          </c:marker>
          <c:xVal>
            <c:numRef>
              <c:f>'Mineral dual thresh'!$J$29</c:f>
              <c:numCache>
                <c:formatCode>0.0</c:formatCode>
                <c:ptCount val="1"/>
                <c:pt idx="0">
                  <c:v>40</c:v>
                </c:pt>
              </c:numCache>
            </c:numRef>
          </c:xVal>
          <c:yVal>
            <c:numRef>
              <c:f>'Mineral dual thresh'!$Y$6</c:f>
              <c:numCache>
                <c:formatCode>0.00</c:formatCode>
                <c:ptCount val="1"/>
                <c:pt idx="0">
                  <c:v>7.2065189712248543</c:v>
                </c:pt>
              </c:numCache>
            </c:numRef>
          </c:yVal>
          <c:smooth val="0"/>
        </c:ser>
        <c:ser>
          <c:idx val="10"/>
          <c:order val="9"/>
          <c:tx>
            <c:strRef>
              <c:f>'Mineral dual thresh'!$C$30</c:f>
              <c:strCache>
                <c:ptCount val="1"/>
                <c:pt idx="0">
                  <c:v>F2870H(6mm)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  <c:spPr>
              <a:solidFill>
                <a:schemeClr val="accent4">
                  <a:lumMod val="60000"/>
                  <a:lumOff val="40000"/>
                </a:schemeClr>
              </a:solidFill>
            </c:spPr>
          </c:marker>
          <c:xVal>
            <c:numRef>
              <c:f>'Mineral dual thresh'!$J$30</c:f>
              <c:numCache>
                <c:formatCode>0.0</c:formatCode>
                <c:ptCount val="1"/>
                <c:pt idx="0">
                  <c:v>22</c:v>
                </c:pt>
              </c:numCache>
            </c:numRef>
          </c:xVal>
          <c:yVal>
            <c:numRef>
              <c:f>'Mineral dual thresh'!$Z$6</c:f>
              <c:numCache>
                <c:formatCode>0.00</c:formatCode>
                <c:ptCount val="1"/>
                <c:pt idx="0">
                  <c:v>4.1756842775302356</c:v>
                </c:pt>
              </c:numCache>
            </c:numRef>
          </c:yVal>
          <c:smooth val="0"/>
        </c:ser>
        <c:ser>
          <c:idx val="1"/>
          <c:order val="10"/>
          <c:tx>
            <c:v>"Equality"</c:v>
          </c:tx>
          <c:spPr>
            <a:ln w="19050">
              <a:solidFill>
                <a:schemeClr val="accent1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100</c:v>
              </c:pt>
            </c:numLit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890432"/>
        <c:axId val="223900800"/>
      </c:scatterChart>
      <c:valAx>
        <c:axId val="223890432"/>
        <c:scaling>
          <c:orientation val="minMax"/>
          <c:max val="100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/>
                  <a:t>Dolomite (%) - XRD and Rietveld Method</a:t>
                </a:r>
              </a:p>
            </c:rich>
          </c:tx>
          <c:layout/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223900800"/>
        <c:crosses val="autoZero"/>
        <c:crossBetween val="midCat"/>
        <c:majorUnit val="10"/>
      </c:valAx>
      <c:valAx>
        <c:axId val="223900800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/>
                  <a:t>Solid 2 (%)</a:t>
                </a:r>
                <a:r>
                  <a:rPr lang="en-US" sz="1400" baseline="0"/>
                  <a:t> - Micro CT Multithreshold</a:t>
                </a:r>
                <a:endParaRPr lang="en-US" sz="1400"/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223890432"/>
        <c:crosses val="autoZero"/>
        <c:crossBetween val="midCat"/>
        <c:majorUnit val="10"/>
      </c:valAx>
    </c:plotArea>
    <c:legend>
      <c:legendPos val="r"/>
      <c:layout>
        <c:manualLayout>
          <c:xMode val="edge"/>
          <c:yMode val="edge"/>
          <c:x val="0.73566631871683197"/>
          <c:y val="0.14509702086303891"/>
          <c:w val="0.2365081277847072"/>
          <c:h val="0.69056333073581511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 sz="1800" b="1" i="0" baseline="0">
                <a:effectLst/>
              </a:rPr>
              <a:t>Micro CT - Well 861</a:t>
            </a:r>
            <a:endParaRPr lang="pt-BR" sz="2000">
              <a:effectLst/>
            </a:endParaRP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F2829V!$A$1</c:f>
              <c:strCache>
                <c:ptCount val="1"/>
                <c:pt idx="0">
                  <c:v>F2829V</c:v>
                </c:pt>
              </c:strCache>
            </c:strRef>
          </c:tx>
          <c:xVal>
            <c:numRef>
              <c:f>Plots!$A$2:$A$11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F2829V!$B$52:$B$61</c:f>
              <c:numCache>
                <c:formatCode>General</c:formatCode>
                <c:ptCount val="10"/>
                <c:pt idx="0">
                  <c:v>0</c:v>
                </c:pt>
                <c:pt idx="1">
                  <c:v>5.2164840897235262E-2</c:v>
                </c:pt>
                <c:pt idx="2">
                  <c:v>1.304121022430881</c:v>
                </c:pt>
                <c:pt idx="3">
                  <c:v>5.0078247261345856</c:v>
                </c:pt>
                <c:pt idx="4">
                  <c:v>9.7026604068857587</c:v>
                </c:pt>
                <c:pt idx="5">
                  <c:v>12.5717266562337</c:v>
                </c:pt>
                <c:pt idx="6">
                  <c:v>18.257694314032339</c:v>
                </c:pt>
                <c:pt idx="7">
                  <c:v>27.856025039123629</c:v>
                </c:pt>
                <c:pt idx="8">
                  <c:v>23.3698487219614</c:v>
                </c:pt>
                <c:pt idx="9">
                  <c:v>1.8779342723004691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F2830H!$A$1</c:f>
              <c:strCache>
                <c:ptCount val="1"/>
                <c:pt idx="0">
                  <c:v>F2830H</c:v>
                </c:pt>
              </c:strCache>
            </c:strRef>
          </c:tx>
          <c:xVal>
            <c:numRef>
              <c:f>Plots!$A$2:$A$11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F2830H!$B$52:$B$61</c:f>
              <c:numCache>
                <c:formatCode>General</c:formatCode>
                <c:ptCount val="10"/>
                <c:pt idx="0">
                  <c:v>2.1818229421591471E-4</c:v>
                </c:pt>
                <c:pt idx="1">
                  <c:v>9.185474586490007E-2</c:v>
                </c:pt>
                <c:pt idx="2">
                  <c:v>1.6693854604773679</c:v>
                </c:pt>
                <c:pt idx="3">
                  <c:v>9.5768936223133583</c:v>
                </c:pt>
                <c:pt idx="4">
                  <c:v>24.144707224815761</c:v>
                </c:pt>
                <c:pt idx="5">
                  <c:v>29.472282484979971</c:v>
                </c:pt>
                <c:pt idx="6">
                  <c:v>22.010011658207251</c:v>
                </c:pt>
                <c:pt idx="7">
                  <c:v>10.562932137306481</c:v>
                </c:pt>
                <c:pt idx="8">
                  <c:v>2.3660415259087841</c:v>
                </c:pt>
                <c:pt idx="9">
                  <c:v>0.105672957831908</c:v>
                </c:pt>
              </c:numCache>
            </c:numRef>
          </c:yVal>
          <c:smooth val="1"/>
        </c:ser>
        <c:ser>
          <c:idx val="3"/>
          <c:order val="2"/>
          <c:tx>
            <c:strRef>
              <c:f>F2852H!$A$1</c:f>
              <c:strCache>
                <c:ptCount val="1"/>
                <c:pt idx="0">
                  <c:v>F2852H</c:v>
                </c:pt>
              </c:strCache>
            </c:strRef>
          </c:tx>
          <c:xVal>
            <c:numRef>
              <c:f>Plots!$A$2:$A$11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F2852H!$B$52:$B$61</c:f>
              <c:numCache>
                <c:formatCode>General</c:formatCode>
                <c:ptCount val="10"/>
                <c:pt idx="0">
                  <c:v>0</c:v>
                </c:pt>
                <c:pt idx="1">
                  <c:v>2.0150077779300231E-2</c:v>
                </c:pt>
                <c:pt idx="2">
                  <c:v>0.76462828479851264</c:v>
                </c:pt>
                <c:pt idx="3">
                  <c:v>7.6057140247228023</c:v>
                </c:pt>
                <c:pt idx="4">
                  <c:v>21.012501108254281</c:v>
                </c:pt>
                <c:pt idx="5">
                  <c:v>26.051901227005398</c:v>
                </c:pt>
                <c:pt idx="6">
                  <c:v>24.02641540863014</c:v>
                </c:pt>
                <c:pt idx="7">
                  <c:v>15.476871740724921</c:v>
                </c:pt>
                <c:pt idx="8">
                  <c:v>4.7610603776930578</c:v>
                </c:pt>
                <c:pt idx="9">
                  <c:v>0.28075775039158318</c:v>
                </c:pt>
              </c:numCache>
            </c:numRef>
          </c:yVal>
          <c:smooth val="1"/>
        </c:ser>
        <c:ser>
          <c:idx val="4"/>
          <c:order val="3"/>
          <c:tx>
            <c:strRef>
              <c:f>F2854H!$A$1</c:f>
              <c:strCache>
                <c:ptCount val="1"/>
                <c:pt idx="0">
                  <c:v>F2854H</c:v>
                </c:pt>
              </c:strCache>
            </c:strRef>
          </c:tx>
          <c:xVal>
            <c:numRef>
              <c:f>Plots!$A$2:$A$11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F2854H!$B$52:$B$61</c:f>
              <c:numCache>
                <c:formatCode>General</c:formatCode>
                <c:ptCount val="10"/>
                <c:pt idx="0">
                  <c:v>5.4742803209060879E-2</c:v>
                </c:pt>
                <c:pt idx="1">
                  <c:v>0.19443133553563</c:v>
                </c:pt>
                <c:pt idx="2">
                  <c:v>1.8839075035394051</c:v>
                </c:pt>
                <c:pt idx="3">
                  <c:v>12.39830108541765</c:v>
                </c:pt>
                <c:pt idx="4">
                  <c:v>26.144407739499769</c:v>
                </c:pt>
                <c:pt idx="5">
                  <c:v>27.673430863614911</c:v>
                </c:pt>
                <c:pt idx="6">
                  <c:v>20.151014629542239</c:v>
                </c:pt>
                <c:pt idx="7">
                  <c:v>9.3704577630957999</c:v>
                </c:pt>
                <c:pt idx="8">
                  <c:v>2.040585181689476</c:v>
                </c:pt>
                <c:pt idx="9">
                  <c:v>8.8721094856064192E-2</c:v>
                </c:pt>
              </c:numCache>
            </c:numRef>
          </c:yVal>
          <c:smooth val="1"/>
        </c:ser>
        <c:ser>
          <c:idx val="6"/>
          <c:order val="4"/>
          <c:tx>
            <c:strRef>
              <c:f>F2859H!$A$1</c:f>
              <c:strCache>
                <c:ptCount val="1"/>
                <c:pt idx="0">
                  <c:v>F2859H</c:v>
                </c:pt>
              </c:strCache>
            </c:strRef>
          </c:tx>
          <c:xVal>
            <c:numRef>
              <c:f>Plots!$A$2:$A$11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F2859H!$B$52:$B$61</c:f>
              <c:numCache>
                <c:formatCode>General</c:formatCode>
                <c:ptCount val="10"/>
                <c:pt idx="0">
                  <c:v>2.4208971844965751E-3</c:v>
                </c:pt>
                <c:pt idx="1">
                  <c:v>7.1416466942648943E-2</c:v>
                </c:pt>
                <c:pt idx="2">
                  <c:v>1.862880383470114</c:v>
                </c:pt>
                <c:pt idx="3">
                  <c:v>12.778705788365169</c:v>
                </c:pt>
                <c:pt idx="4">
                  <c:v>26.249788171496359</c:v>
                </c:pt>
                <c:pt idx="5">
                  <c:v>27.89841915413853</c:v>
                </c:pt>
                <c:pt idx="6">
                  <c:v>19.732732950831579</c:v>
                </c:pt>
                <c:pt idx="7">
                  <c:v>9.1897257123489968</c:v>
                </c:pt>
                <c:pt idx="8">
                  <c:v>2.1061805505120201</c:v>
                </c:pt>
                <c:pt idx="9">
                  <c:v>0.1077299247100976</c:v>
                </c:pt>
              </c:numCache>
            </c:numRef>
          </c:yVal>
          <c:smooth val="1"/>
        </c:ser>
        <c:ser>
          <c:idx val="1"/>
          <c:order val="5"/>
          <c:tx>
            <c:strRef>
              <c:f>F2880H!$A$1</c:f>
              <c:strCache>
                <c:ptCount val="1"/>
                <c:pt idx="0">
                  <c:v>F2880H</c:v>
                </c:pt>
              </c:strCache>
            </c:strRef>
          </c:tx>
          <c:xVal>
            <c:numRef>
              <c:f>Plots!$A$2:$A$11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F2880H!$B$52:$B$61</c:f>
              <c:numCache>
                <c:formatCode>General</c:formatCode>
                <c:ptCount val="10"/>
                <c:pt idx="0">
                  <c:v>1.6113023189862969E-4</c:v>
                </c:pt>
                <c:pt idx="1">
                  <c:v>3.2387176611624581E-2</c:v>
                </c:pt>
                <c:pt idx="2">
                  <c:v>0.85672944300501441</c:v>
                </c:pt>
                <c:pt idx="3">
                  <c:v>8.1336929760109307</c:v>
                </c:pt>
                <c:pt idx="4">
                  <c:v>24.054004408523149</c:v>
                </c:pt>
                <c:pt idx="5">
                  <c:v>30.088976114054422</c:v>
                </c:pt>
                <c:pt idx="6">
                  <c:v>23.061281049795689</c:v>
                </c:pt>
                <c:pt idx="7">
                  <c:v>11.19774546579527</c:v>
                </c:pt>
                <c:pt idx="8">
                  <c:v>2.4714154968611828</c:v>
                </c:pt>
                <c:pt idx="9">
                  <c:v>0.1036067391108189</c:v>
                </c:pt>
              </c:numCache>
            </c:numRef>
          </c:yVal>
          <c:smooth val="1"/>
        </c:ser>
        <c:ser>
          <c:idx val="5"/>
          <c:order val="6"/>
          <c:tx>
            <c:strRef>
              <c:f>F2910H!$A$1</c:f>
              <c:strCache>
                <c:ptCount val="1"/>
                <c:pt idx="0">
                  <c:v>F2910H</c:v>
                </c:pt>
              </c:strCache>
            </c:strRef>
          </c:tx>
          <c:xVal>
            <c:numRef>
              <c:f>Plots!$A$2:$A$11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F2910H!$B$52:$B$61</c:f>
              <c:numCache>
                <c:formatCode>General</c:formatCode>
                <c:ptCount val="10"/>
                <c:pt idx="0">
                  <c:v>6.4338057891384496E-4</c:v>
                </c:pt>
                <c:pt idx="1">
                  <c:v>3.4099170682433781E-2</c:v>
                </c:pt>
                <c:pt idx="2">
                  <c:v>0.9406224063720412</c:v>
                </c:pt>
                <c:pt idx="3">
                  <c:v>7.9402814146652174</c:v>
                </c:pt>
                <c:pt idx="4">
                  <c:v>22.725488808394829</c:v>
                </c:pt>
                <c:pt idx="5">
                  <c:v>28.187146542794459</c:v>
                </c:pt>
                <c:pt idx="6">
                  <c:v>23.296489072180869</c:v>
                </c:pt>
                <c:pt idx="7">
                  <c:v>13.25492668678303</c:v>
                </c:pt>
                <c:pt idx="8">
                  <c:v>3.4436945486363548</c:v>
                </c:pt>
                <c:pt idx="9">
                  <c:v>0.1766079689118504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F2911V!$A$1</c:f>
              <c:strCache>
                <c:ptCount val="1"/>
                <c:pt idx="0">
                  <c:v>F2911V</c:v>
                </c:pt>
              </c:strCache>
            </c:strRef>
          </c:tx>
          <c:xVal>
            <c:numRef>
              <c:f>Plots!$A$2:$A$11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F2911V!$B$52:$B$61</c:f>
              <c:numCache>
                <c:formatCode>General</c:formatCode>
                <c:ptCount val="10"/>
                <c:pt idx="0">
                  <c:v>0</c:v>
                </c:pt>
                <c:pt idx="1">
                  <c:v>5.575667463960178E-2</c:v>
                </c:pt>
                <c:pt idx="2">
                  <c:v>1.261232141702761</c:v>
                </c:pt>
                <c:pt idx="3">
                  <c:v>9.7223479216497513</c:v>
                </c:pt>
                <c:pt idx="4">
                  <c:v>25.74988687051523</c:v>
                </c:pt>
                <c:pt idx="5">
                  <c:v>30.17470424720409</c:v>
                </c:pt>
                <c:pt idx="6">
                  <c:v>21.738153726808459</c:v>
                </c:pt>
                <c:pt idx="7">
                  <c:v>9.3834443079707803</c:v>
                </c:pt>
                <c:pt idx="8">
                  <c:v>1.8402934902062189</c:v>
                </c:pt>
                <c:pt idx="9">
                  <c:v>7.4180619303122378E-2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F2935H!$A$1</c:f>
              <c:strCache>
                <c:ptCount val="1"/>
                <c:pt idx="0">
                  <c:v>F2935H</c:v>
                </c:pt>
              </c:strCache>
            </c:strRef>
          </c:tx>
          <c:xVal>
            <c:numRef>
              <c:f>Plots!$A$2:$A$11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F2935H!$B$52:$B$61</c:f>
              <c:numCache>
                <c:formatCode>General</c:formatCode>
                <c:ptCount val="10"/>
                <c:pt idx="0">
                  <c:v>0</c:v>
                </c:pt>
                <c:pt idx="1">
                  <c:v>2.8339242532531742E-2</c:v>
                </c:pt>
                <c:pt idx="2">
                  <c:v>0.74803143475979372</c:v>
                </c:pt>
                <c:pt idx="3">
                  <c:v>7.8116654910552326</c:v>
                </c:pt>
                <c:pt idx="4">
                  <c:v>24.70185404044415</c:v>
                </c:pt>
                <c:pt idx="5">
                  <c:v>31.25273465904932</c:v>
                </c:pt>
                <c:pt idx="6">
                  <c:v>23.168109320963719</c:v>
                </c:pt>
                <c:pt idx="7">
                  <c:v>10.191227603045069</c:v>
                </c:pt>
                <c:pt idx="8">
                  <c:v>2.013020480552584</c:v>
                </c:pt>
                <c:pt idx="9">
                  <c:v>8.5017727597595211E-2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F2870H!$A$1</c:f>
              <c:strCache>
                <c:ptCount val="1"/>
                <c:pt idx="0">
                  <c:v>F2870H(6mm)</c:v>
                </c:pt>
              </c:strCache>
            </c:strRef>
          </c:tx>
          <c:xVal>
            <c:numRef>
              <c:f>Plots!$A$2:$A$11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F2870H!$B$52:$B$61</c:f>
              <c:numCache>
                <c:formatCode>General</c:formatCode>
                <c:ptCount val="10"/>
                <c:pt idx="0">
                  <c:v>2.5859839668994052E-3</c:v>
                </c:pt>
                <c:pt idx="1">
                  <c:v>6.9821567106283941E-2</c:v>
                </c:pt>
                <c:pt idx="2">
                  <c:v>1.569692267907939</c:v>
                </c:pt>
                <c:pt idx="3">
                  <c:v>10.28704422032583</c:v>
                </c:pt>
                <c:pt idx="4">
                  <c:v>24.228083785880528</c:v>
                </c:pt>
                <c:pt idx="5">
                  <c:v>28.531161106801139</c:v>
                </c:pt>
                <c:pt idx="6">
                  <c:v>22.073959141453319</c:v>
                </c:pt>
                <c:pt idx="7">
                  <c:v>10.786139125937421</c:v>
                </c:pt>
                <c:pt idx="8">
                  <c:v>2.3351435221101631</c:v>
                </c:pt>
                <c:pt idx="9">
                  <c:v>0.1163692785104732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353472"/>
        <c:axId val="223363840"/>
      </c:scatterChart>
      <c:valAx>
        <c:axId val="223353472"/>
        <c:scaling>
          <c:orientation val="minMax"/>
          <c:max val="1"/>
          <c:min val="0.1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 sz="1800" b="1" i="0" baseline="0">
                    <a:effectLst/>
                  </a:rPr>
                  <a:t>Pore aspect ratio</a:t>
                </a:r>
                <a:endParaRPr lang="pt-BR">
                  <a:effectLst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3363840"/>
        <c:crosses val="autoZero"/>
        <c:crossBetween val="midCat"/>
        <c:majorUnit val="0.1"/>
        <c:minorUnit val="4.0000000000000008E-2"/>
      </c:valAx>
      <c:valAx>
        <c:axId val="223363840"/>
        <c:scaling>
          <c:orientation val="minMax"/>
          <c:max val="3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 sz="1800" b="1" i="0" baseline="0">
                    <a:effectLst/>
                  </a:rPr>
                  <a:t>(%)</a:t>
                </a:r>
                <a:endParaRPr lang="pt-BR">
                  <a:effectLst/>
                </a:endParaRPr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3353472"/>
        <c:crosses val="autoZero"/>
        <c:crossBetween val="midCat"/>
        <c:majorUnit val="5"/>
        <c:minorUnit val="1"/>
      </c:valAx>
    </c:plotArea>
    <c:legend>
      <c:legendPos val="r"/>
      <c:layout>
        <c:manualLayout>
          <c:xMode val="edge"/>
          <c:yMode val="edge"/>
          <c:x val="0.14285716428303927"/>
          <c:y val="0.12251889714536152"/>
          <c:w val="0.21302890334141783"/>
          <c:h val="0.52476065257321258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  <c:txPr>
        <a:bodyPr/>
        <a:lstStyle/>
        <a:p>
          <a:pPr>
            <a:defRPr sz="14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2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 sz="1800" b="1" i="0" baseline="0">
                <a:effectLst/>
              </a:rPr>
              <a:t>Micro CT</a:t>
            </a:r>
            <a:r>
              <a:rPr lang="pt-BR" sz="1800" b="1" i="0" u="none" strike="noStrike" baseline="0">
                <a:effectLst/>
              </a:rPr>
              <a:t>- Well 861</a:t>
            </a:r>
            <a:r>
              <a:rPr lang="pt-BR" sz="1800" b="1" i="0" baseline="0">
                <a:effectLst/>
              </a:rPr>
              <a:t> </a:t>
            </a:r>
            <a:endParaRPr lang="pt-BR" sz="1800">
              <a:effectLst/>
            </a:endParaRP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F2829V!$A$1</c:f>
              <c:strCache>
                <c:ptCount val="1"/>
                <c:pt idx="0">
                  <c:v>F2829V</c:v>
                </c:pt>
              </c:strCache>
            </c:strRef>
          </c:tx>
          <c:xVal>
            <c:numRef>
              <c:f>Plots!$A$2:$A$11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F2829V!$K$52:$K$61</c:f>
              <c:numCache>
                <c:formatCode>General</c:formatCode>
                <c:ptCount val="10"/>
                <c:pt idx="0">
                  <c:v>0</c:v>
                </c:pt>
                <c:pt idx="1">
                  <c:v>29.733722983</c:v>
                </c:pt>
                <c:pt idx="2">
                  <c:v>13.78935153674</c:v>
                </c:pt>
                <c:pt idx="3">
                  <c:v>12.848010408234369</c:v>
                </c:pt>
                <c:pt idx="4">
                  <c:v>10.376347337473121</c:v>
                </c:pt>
                <c:pt idx="5">
                  <c:v>9.4315537728796688</c:v>
                </c:pt>
                <c:pt idx="6">
                  <c:v>8.0364699026942858</c:v>
                </c:pt>
                <c:pt idx="7">
                  <c:v>7.0802812603820229</c:v>
                </c:pt>
                <c:pt idx="8">
                  <c:v>6.6438568310725454</c:v>
                </c:pt>
                <c:pt idx="9">
                  <c:v>6.4276632424722244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F2830H!$A$1</c:f>
              <c:strCache>
                <c:ptCount val="1"/>
                <c:pt idx="0">
                  <c:v>F2830H</c:v>
                </c:pt>
              </c:strCache>
            </c:strRef>
          </c:tx>
          <c:xVal>
            <c:numRef>
              <c:f>Plots!$A$2:$A$11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F2830H!$K$52:$K$61</c:f>
              <c:numCache>
                <c:formatCode>General</c:formatCode>
                <c:ptCount val="10"/>
                <c:pt idx="0">
                  <c:v>19.671070674833341</c:v>
                </c:pt>
                <c:pt idx="1">
                  <c:v>11.708163281858271</c:v>
                </c:pt>
                <c:pt idx="2">
                  <c:v>10.739605855279519</c:v>
                </c:pt>
                <c:pt idx="3">
                  <c:v>10.26855737406829</c:v>
                </c:pt>
                <c:pt idx="4">
                  <c:v>9.3733755940184977</c:v>
                </c:pt>
                <c:pt idx="5">
                  <c:v>8.2659402311600036</c:v>
                </c:pt>
                <c:pt idx="6">
                  <c:v>7.1594780123955326</c:v>
                </c:pt>
                <c:pt idx="7">
                  <c:v>6.2243210976674073</c:v>
                </c:pt>
                <c:pt idx="8">
                  <c:v>5.5123858725591717</c:v>
                </c:pt>
                <c:pt idx="9">
                  <c:v>5.0707559484924296</c:v>
                </c:pt>
              </c:numCache>
            </c:numRef>
          </c:yVal>
          <c:smooth val="1"/>
        </c:ser>
        <c:ser>
          <c:idx val="3"/>
          <c:order val="2"/>
          <c:tx>
            <c:strRef>
              <c:f>F2852H!$A$1</c:f>
              <c:strCache>
                <c:ptCount val="1"/>
                <c:pt idx="0">
                  <c:v>F2852H</c:v>
                </c:pt>
              </c:strCache>
            </c:strRef>
          </c:tx>
          <c:xVal>
            <c:numRef>
              <c:f>Plots!$A$2:$A$11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F2852H!$K$52:$K$61</c:f>
              <c:numCache>
                <c:formatCode>General</c:formatCode>
                <c:ptCount val="10"/>
                <c:pt idx="0">
                  <c:v>0</c:v>
                </c:pt>
                <c:pt idx="1">
                  <c:v>13.18762653394667</c:v>
                </c:pt>
                <c:pt idx="2">
                  <c:v>15.022098928057281</c:v>
                </c:pt>
                <c:pt idx="3">
                  <c:v>14.237870986159351</c:v>
                </c:pt>
                <c:pt idx="4">
                  <c:v>12.328048991688171</c:v>
                </c:pt>
                <c:pt idx="5">
                  <c:v>10.3082475509232</c:v>
                </c:pt>
                <c:pt idx="6">
                  <c:v>8.4523156889330533</c:v>
                </c:pt>
                <c:pt idx="7">
                  <c:v>7.0388845311981223</c:v>
                </c:pt>
                <c:pt idx="8">
                  <c:v>6.1137264027785969</c:v>
                </c:pt>
                <c:pt idx="9">
                  <c:v>5.3463054168478479</c:v>
                </c:pt>
              </c:numCache>
            </c:numRef>
          </c:yVal>
          <c:smooth val="1"/>
        </c:ser>
        <c:ser>
          <c:idx val="4"/>
          <c:order val="3"/>
          <c:tx>
            <c:strRef>
              <c:f>F2854H!$A$1</c:f>
              <c:strCache>
                <c:ptCount val="1"/>
                <c:pt idx="0">
                  <c:v>F2854H</c:v>
                </c:pt>
              </c:strCache>
            </c:strRef>
          </c:tx>
          <c:xVal>
            <c:numRef>
              <c:f>Plots!$A$2:$A$11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F2854H!$K$52:$K$61</c:f>
              <c:numCache>
                <c:formatCode>General</c:formatCode>
                <c:ptCount val="10"/>
                <c:pt idx="0">
                  <c:v>19.946971655086209</c:v>
                </c:pt>
                <c:pt idx="1">
                  <c:v>15.144272356184469</c:v>
                </c:pt>
                <c:pt idx="2">
                  <c:v>24.25792598582866</c:v>
                </c:pt>
                <c:pt idx="3">
                  <c:v>21.806117846352091</c:v>
                </c:pt>
                <c:pt idx="4">
                  <c:v>19.742009576420621</c:v>
                </c:pt>
                <c:pt idx="5">
                  <c:v>16.479456516719988</c:v>
                </c:pt>
                <c:pt idx="6">
                  <c:v>13.518661109602579</c:v>
                </c:pt>
                <c:pt idx="7">
                  <c:v>11.082139362804901</c:v>
                </c:pt>
                <c:pt idx="8">
                  <c:v>9.0062607254343217</c:v>
                </c:pt>
                <c:pt idx="9">
                  <c:v>9.1962488501595736</c:v>
                </c:pt>
              </c:numCache>
            </c:numRef>
          </c:yVal>
          <c:smooth val="1"/>
        </c:ser>
        <c:ser>
          <c:idx val="6"/>
          <c:order val="4"/>
          <c:tx>
            <c:strRef>
              <c:f>F2859H!$A$1</c:f>
              <c:strCache>
                <c:ptCount val="1"/>
                <c:pt idx="0">
                  <c:v>F2859H</c:v>
                </c:pt>
              </c:strCache>
            </c:strRef>
          </c:tx>
          <c:xVal>
            <c:numRef>
              <c:f>Plots!$A$2:$A$11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F2859H!$K$52:$K$61</c:f>
              <c:numCache>
                <c:formatCode>General</c:formatCode>
                <c:ptCount val="10"/>
                <c:pt idx="0">
                  <c:v>15.072277478749999</c:v>
                </c:pt>
                <c:pt idx="1">
                  <c:v>16.691115671398311</c:v>
                </c:pt>
                <c:pt idx="2">
                  <c:v>23.34587306645907</c:v>
                </c:pt>
                <c:pt idx="3">
                  <c:v>21.646700008939138</c:v>
                </c:pt>
                <c:pt idx="4">
                  <c:v>19.295813814462299</c:v>
                </c:pt>
                <c:pt idx="5">
                  <c:v>16.929547848128411</c:v>
                </c:pt>
                <c:pt idx="6">
                  <c:v>13.54862006066559</c:v>
                </c:pt>
                <c:pt idx="7">
                  <c:v>10.728037016480441</c:v>
                </c:pt>
                <c:pt idx="8">
                  <c:v>8.2901582620318965</c:v>
                </c:pt>
                <c:pt idx="9">
                  <c:v>6.3095641656235957</c:v>
                </c:pt>
              </c:numCache>
            </c:numRef>
          </c:yVal>
          <c:smooth val="1"/>
        </c:ser>
        <c:ser>
          <c:idx val="1"/>
          <c:order val="5"/>
          <c:tx>
            <c:strRef>
              <c:f>F2880H!$A$1</c:f>
              <c:strCache>
                <c:ptCount val="1"/>
                <c:pt idx="0">
                  <c:v>F2880H</c:v>
                </c:pt>
              </c:strCache>
            </c:strRef>
          </c:tx>
          <c:xVal>
            <c:numRef>
              <c:f>Plots!$A$2:$A$11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F2880H!$K$52:$K$61</c:f>
              <c:numCache>
                <c:formatCode>General</c:formatCode>
                <c:ptCount val="10"/>
                <c:pt idx="0">
                  <c:v>19.4841884065</c:v>
                </c:pt>
                <c:pt idx="1">
                  <c:v>18.045671153788561</c:v>
                </c:pt>
                <c:pt idx="2">
                  <c:v>17.534514088441789</c:v>
                </c:pt>
                <c:pt idx="3">
                  <c:v>16.39811123778416</c:v>
                </c:pt>
                <c:pt idx="4">
                  <c:v>14.33293221632632</c:v>
                </c:pt>
                <c:pt idx="5">
                  <c:v>12.29172072527799</c:v>
                </c:pt>
                <c:pt idx="6">
                  <c:v>10.165002572243759</c:v>
                </c:pt>
                <c:pt idx="7">
                  <c:v>8.3119421773222903</c:v>
                </c:pt>
                <c:pt idx="8">
                  <c:v>7.0493773763103738</c:v>
                </c:pt>
                <c:pt idx="9">
                  <c:v>5.7914331059167958</c:v>
                </c:pt>
              </c:numCache>
            </c:numRef>
          </c:yVal>
          <c:smooth val="1"/>
        </c:ser>
        <c:ser>
          <c:idx val="5"/>
          <c:order val="6"/>
          <c:tx>
            <c:strRef>
              <c:f>F2910H!$A$1</c:f>
              <c:strCache>
                <c:ptCount val="1"/>
                <c:pt idx="0">
                  <c:v>F2910H</c:v>
                </c:pt>
              </c:strCache>
            </c:strRef>
          </c:tx>
          <c:xVal>
            <c:numRef>
              <c:f>Plots!$A$2:$A$11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F2910H!$K$52:$K$61</c:f>
              <c:numCache>
                <c:formatCode>General</c:formatCode>
                <c:ptCount val="10"/>
                <c:pt idx="0">
                  <c:v>13.400594163999999</c:v>
                </c:pt>
                <c:pt idx="1">
                  <c:v>14.439116193400951</c:v>
                </c:pt>
                <c:pt idx="2">
                  <c:v>17.411730271642611</c:v>
                </c:pt>
                <c:pt idx="3">
                  <c:v>16.422045093278211</c:v>
                </c:pt>
                <c:pt idx="4">
                  <c:v>14.40996021121267</c:v>
                </c:pt>
                <c:pt idx="5">
                  <c:v>12.417092041558201</c:v>
                </c:pt>
                <c:pt idx="6">
                  <c:v>10.008733812337161</c:v>
                </c:pt>
                <c:pt idx="7">
                  <c:v>7.9403582105534793</c:v>
                </c:pt>
                <c:pt idx="8">
                  <c:v>6.5946326918353577</c:v>
                </c:pt>
                <c:pt idx="9">
                  <c:v>5.638542138770493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F2911V!$A$1</c:f>
              <c:strCache>
                <c:ptCount val="1"/>
                <c:pt idx="0">
                  <c:v>F2911V</c:v>
                </c:pt>
              </c:strCache>
            </c:strRef>
          </c:tx>
          <c:xVal>
            <c:numRef>
              <c:f>Plots!$A$2:$A$11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F2911V!$K$52:$K$61</c:f>
              <c:numCache>
                <c:formatCode>General</c:formatCode>
                <c:ptCount val="10"/>
                <c:pt idx="0">
                  <c:v>0</c:v>
                </c:pt>
                <c:pt idx="1">
                  <c:v>16.60482137825942</c:v>
                </c:pt>
                <c:pt idx="2">
                  <c:v>16.458074510543121</c:v>
                </c:pt>
                <c:pt idx="3">
                  <c:v>15.517474361220209</c:v>
                </c:pt>
                <c:pt idx="4">
                  <c:v>13.987805108127271</c:v>
                </c:pt>
                <c:pt idx="5">
                  <c:v>12.16259618753995</c:v>
                </c:pt>
                <c:pt idx="6">
                  <c:v>10.198930414704559</c:v>
                </c:pt>
                <c:pt idx="7">
                  <c:v>8.5492228198762525</c:v>
                </c:pt>
                <c:pt idx="8">
                  <c:v>7.3494960840514629</c:v>
                </c:pt>
                <c:pt idx="9">
                  <c:v>5.8594272152113289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F2935H!$A$1</c:f>
              <c:strCache>
                <c:ptCount val="1"/>
                <c:pt idx="0">
                  <c:v>F2935H</c:v>
                </c:pt>
              </c:strCache>
            </c:strRef>
          </c:tx>
          <c:xVal>
            <c:numRef>
              <c:f>Plots!$A$2:$A$11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F2935H!$K$52:$K$61</c:f>
              <c:numCache>
                <c:formatCode>General</c:formatCode>
                <c:ptCount val="10"/>
                <c:pt idx="0">
                  <c:v>0</c:v>
                </c:pt>
                <c:pt idx="1">
                  <c:v>11.189210047846149</c:v>
                </c:pt>
                <c:pt idx="2">
                  <c:v>13.465918472300061</c:v>
                </c:pt>
                <c:pt idx="3">
                  <c:v>14.67350590048132</c:v>
                </c:pt>
                <c:pt idx="4">
                  <c:v>13.736829727486789</c:v>
                </c:pt>
                <c:pt idx="5">
                  <c:v>12.31674890634631</c:v>
                </c:pt>
                <c:pt idx="6">
                  <c:v>10.463106718104241</c:v>
                </c:pt>
                <c:pt idx="7">
                  <c:v>8.7701180115540414</c:v>
                </c:pt>
                <c:pt idx="8">
                  <c:v>7.5645780479581157</c:v>
                </c:pt>
                <c:pt idx="9">
                  <c:v>6.8674997116739931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F2870H!$A$1</c:f>
              <c:strCache>
                <c:ptCount val="1"/>
                <c:pt idx="0">
                  <c:v>F2870H(6mm)</c:v>
                </c:pt>
              </c:strCache>
            </c:strRef>
          </c:tx>
          <c:xVal>
            <c:numRef>
              <c:f>Plots!$A$2:$A$11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F2870H!$K$52:$K$61</c:f>
              <c:numCache>
                <c:formatCode>General</c:formatCode>
                <c:ptCount val="10"/>
                <c:pt idx="0">
                  <c:v>63.194374884500007</c:v>
                </c:pt>
                <c:pt idx="1">
                  <c:v>30.929452264314818</c:v>
                </c:pt>
                <c:pt idx="2">
                  <c:v>36.317850814218303</c:v>
                </c:pt>
                <c:pt idx="3">
                  <c:v>35.252308888992843</c:v>
                </c:pt>
                <c:pt idx="4">
                  <c:v>29.843084504633421</c:v>
                </c:pt>
                <c:pt idx="5">
                  <c:v>25.031073377992289</c:v>
                </c:pt>
                <c:pt idx="6">
                  <c:v>20.92233796885245</c:v>
                </c:pt>
                <c:pt idx="7">
                  <c:v>17.641525809730279</c:v>
                </c:pt>
                <c:pt idx="8">
                  <c:v>16.001560787659471</c:v>
                </c:pt>
                <c:pt idx="9">
                  <c:v>13.883486811433331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932800"/>
        <c:axId val="223934720"/>
      </c:scatterChart>
      <c:valAx>
        <c:axId val="223932800"/>
        <c:scaling>
          <c:orientation val="minMax"/>
          <c:max val="1"/>
          <c:min val="0.1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 sz="1800" b="1" i="0" baseline="0">
                    <a:effectLst/>
                  </a:rPr>
                  <a:t>Pore aspect ratio</a:t>
                </a:r>
                <a:endParaRPr lang="pt-BR">
                  <a:effectLst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3934720"/>
        <c:crosses val="autoZero"/>
        <c:crossBetween val="midCat"/>
        <c:majorUnit val="0.1"/>
        <c:minorUnit val="4.0000000000000008E-2"/>
      </c:valAx>
      <c:valAx>
        <c:axId val="2239347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 sz="1800" b="1" i="0" baseline="0">
                    <a:effectLst/>
                  </a:rPr>
                  <a:t>Mean pore diameter (µm)</a:t>
                </a:r>
                <a:endParaRPr lang="pt-BR">
                  <a:effectLst/>
                </a:endParaRPr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39328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8135420596691252"/>
          <c:y val="2.1163218321318282E-2"/>
          <c:w val="0.21864579403308748"/>
          <c:h val="0.58653810308260412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  <c:txPr>
        <a:bodyPr/>
        <a:lstStyle/>
        <a:p>
          <a:pPr>
            <a:defRPr sz="14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2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Micro CT - Well 861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F2829V!$A$1</c:f>
              <c:strCache>
                <c:ptCount val="1"/>
                <c:pt idx="0">
                  <c:v>F2829V</c:v>
                </c:pt>
              </c:strCache>
            </c:strRef>
          </c:tx>
          <c:invertIfNegative val="0"/>
          <c:cat>
            <c:strRef>
              <c:f>F2829V!$A$9:$A$11</c:f>
              <c:strCache>
                <c:ptCount val="3"/>
                <c:pt idx="0">
                  <c:v>Minor pore diameter (microns)</c:v>
                </c:pt>
                <c:pt idx="1">
                  <c:v>Maximum pore diameter (microns)</c:v>
                </c:pt>
                <c:pt idx="2">
                  <c:v>Mean pore diameter (microns)</c:v>
                </c:pt>
              </c:strCache>
            </c:strRef>
          </c:cat>
          <c:val>
            <c:numRef>
              <c:f>F2829V!$B$9:$B$11</c:f>
              <c:numCache>
                <c:formatCode>General</c:formatCode>
                <c:ptCount val="3"/>
                <c:pt idx="0">
                  <c:v>6.0362575602633362</c:v>
                </c:pt>
                <c:pt idx="1">
                  <c:v>58.915243455806781</c:v>
                </c:pt>
                <c:pt idx="2">
                  <c:v>15.778520088832799</c:v>
                </c:pt>
              </c:numCache>
            </c:numRef>
          </c:val>
        </c:ser>
        <c:ser>
          <c:idx val="2"/>
          <c:order val="1"/>
          <c:tx>
            <c:strRef>
              <c:f>F2830H!$A$1</c:f>
              <c:strCache>
                <c:ptCount val="1"/>
                <c:pt idx="0">
                  <c:v>F2830H</c:v>
                </c:pt>
              </c:strCache>
            </c:strRef>
          </c:tx>
          <c:invertIfNegative val="0"/>
          <c:cat>
            <c:strRef>
              <c:f>F2829V!$A$9:$A$11</c:f>
              <c:strCache>
                <c:ptCount val="3"/>
                <c:pt idx="0">
                  <c:v>Minor pore diameter (microns)</c:v>
                </c:pt>
                <c:pt idx="1">
                  <c:v>Maximum pore diameter (microns)</c:v>
                </c:pt>
                <c:pt idx="2">
                  <c:v>Mean pore diameter (microns)</c:v>
                </c:pt>
              </c:strCache>
            </c:strRef>
          </c:cat>
          <c:val>
            <c:numRef>
              <c:f>F2830H!$B$9:$B$11</c:f>
              <c:numCache>
                <c:formatCode>General</c:formatCode>
                <c:ptCount val="3"/>
                <c:pt idx="0">
                  <c:v>5.4090055889981361</c:v>
                </c:pt>
                <c:pt idx="1">
                  <c:v>165.59095649159249</c:v>
                </c:pt>
                <c:pt idx="2">
                  <c:v>16.620004133627869</c:v>
                </c:pt>
              </c:numCache>
            </c:numRef>
          </c:val>
        </c:ser>
        <c:ser>
          <c:idx val="3"/>
          <c:order val="2"/>
          <c:tx>
            <c:strRef>
              <c:f>F2852H!$A$1</c:f>
              <c:strCache>
                <c:ptCount val="1"/>
                <c:pt idx="0">
                  <c:v>F2852H</c:v>
                </c:pt>
              </c:strCache>
            </c:strRef>
          </c:tx>
          <c:invertIfNegative val="0"/>
          <c:cat>
            <c:strRef>
              <c:f>F2829V!$A$9:$A$11</c:f>
              <c:strCache>
                <c:ptCount val="3"/>
                <c:pt idx="0">
                  <c:v>Minor pore diameter (microns)</c:v>
                </c:pt>
                <c:pt idx="1">
                  <c:v>Maximum pore diameter (microns)</c:v>
                </c:pt>
                <c:pt idx="2">
                  <c:v>Mean pore diameter (microns)</c:v>
                </c:pt>
              </c:strCache>
            </c:strRef>
          </c:cat>
          <c:val>
            <c:numRef>
              <c:f>F2852H!$B$9:$B$11</c:f>
              <c:numCache>
                <c:formatCode>General</c:formatCode>
                <c:ptCount val="3"/>
                <c:pt idx="0">
                  <c:v>5.7339135319504404</c:v>
                </c:pt>
                <c:pt idx="1">
                  <c:v>245.3249817749269</c:v>
                </c:pt>
                <c:pt idx="2">
                  <c:v>19.52711682013382</c:v>
                </c:pt>
              </c:numCache>
            </c:numRef>
          </c:val>
        </c:ser>
        <c:ser>
          <c:idx val="4"/>
          <c:order val="3"/>
          <c:tx>
            <c:strRef>
              <c:f>F2854H!$A$1</c:f>
              <c:strCache>
                <c:ptCount val="1"/>
                <c:pt idx="0">
                  <c:v>F2854H</c:v>
                </c:pt>
              </c:strCache>
            </c:strRef>
          </c:tx>
          <c:invertIfNegative val="0"/>
          <c:cat>
            <c:strRef>
              <c:f>F2829V!$A$9:$A$11</c:f>
              <c:strCache>
                <c:ptCount val="3"/>
                <c:pt idx="0">
                  <c:v>Minor pore diameter (microns)</c:v>
                </c:pt>
                <c:pt idx="1">
                  <c:v>Maximum pore diameter (microns)</c:v>
                </c:pt>
                <c:pt idx="2">
                  <c:v>Mean pore diameter (microns)</c:v>
                </c:pt>
              </c:strCache>
            </c:strRef>
          </c:cat>
          <c:val>
            <c:numRef>
              <c:f>F2854H!$B$9:$B$11</c:f>
              <c:numCache>
                <c:formatCode>General</c:formatCode>
                <c:ptCount val="3"/>
                <c:pt idx="0">
                  <c:v>6.0362575602633362</c:v>
                </c:pt>
                <c:pt idx="1">
                  <c:v>659.96359845119741</c:v>
                </c:pt>
                <c:pt idx="2">
                  <c:v>35.091259052713887</c:v>
                </c:pt>
              </c:numCache>
            </c:numRef>
          </c:val>
        </c:ser>
        <c:ser>
          <c:idx val="6"/>
          <c:order val="4"/>
          <c:tx>
            <c:strRef>
              <c:f>F2859H!$A$1</c:f>
              <c:strCache>
                <c:ptCount val="1"/>
                <c:pt idx="0">
                  <c:v>F2859H</c:v>
                </c:pt>
              </c:strCache>
            </c:strRef>
          </c:tx>
          <c:invertIfNegative val="0"/>
          <c:cat>
            <c:strRef>
              <c:f>F2829V!$A$9:$A$11</c:f>
              <c:strCache>
                <c:ptCount val="3"/>
                <c:pt idx="0">
                  <c:v>Minor pore diameter (microns)</c:v>
                </c:pt>
                <c:pt idx="1">
                  <c:v>Maximum pore diameter (microns)</c:v>
                </c:pt>
                <c:pt idx="2">
                  <c:v>Mean pore diameter (microns)</c:v>
                </c:pt>
              </c:strCache>
            </c:strRef>
          </c:cat>
          <c:val>
            <c:numRef>
              <c:f>F2859H!$B$9:$B$11</c:f>
              <c:numCache>
                <c:formatCode>General</c:formatCode>
                <c:ptCount val="3"/>
                <c:pt idx="0">
                  <c:v>5.7339135319504404</c:v>
                </c:pt>
                <c:pt idx="1">
                  <c:v>469.86212844273462</c:v>
                </c:pt>
                <c:pt idx="2">
                  <c:v>35.009158213576292</c:v>
                </c:pt>
              </c:numCache>
            </c:numRef>
          </c:val>
        </c:ser>
        <c:ser>
          <c:idx val="1"/>
          <c:order val="5"/>
          <c:tx>
            <c:strRef>
              <c:f>F2880H!$A$1</c:f>
              <c:strCache>
                <c:ptCount val="1"/>
                <c:pt idx="0">
                  <c:v>F2880H</c:v>
                </c:pt>
              </c:strCache>
            </c:strRef>
          </c:tx>
          <c:invertIfNegative val="0"/>
          <c:val>
            <c:numRef>
              <c:f>F2880H!$B$9:$B$11</c:f>
              <c:numCache>
                <c:formatCode>General</c:formatCode>
                <c:ptCount val="3"/>
                <c:pt idx="0">
                  <c:v>5.7339135319504404</c:v>
                </c:pt>
                <c:pt idx="1">
                  <c:v>597.51212530323812</c:v>
                </c:pt>
                <c:pt idx="2">
                  <c:v>24.658906177677821</c:v>
                </c:pt>
              </c:numCache>
            </c:numRef>
          </c:val>
        </c:ser>
        <c:ser>
          <c:idx val="5"/>
          <c:order val="6"/>
          <c:tx>
            <c:strRef>
              <c:f>F2910H!$A$1</c:f>
              <c:strCache>
                <c:ptCount val="1"/>
                <c:pt idx="0">
                  <c:v>F2910H</c:v>
                </c:pt>
              </c:strCache>
            </c:strRef>
          </c:tx>
          <c:invertIfNegative val="0"/>
          <c:val>
            <c:numRef>
              <c:f>F2910H!$B$9:$B$11</c:f>
              <c:numCache>
                <c:formatCode>General</c:formatCode>
                <c:ptCount val="3"/>
                <c:pt idx="0">
                  <c:v>5.7339135319504404</c:v>
                </c:pt>
                <c:pt idx="1">
                  <c:v>1948.5710765714041</c:v>
                </c:pt>
                <c:pt idx="2">
                  <c:v>24.789150528938521</c:v>
                </c:pt>
              </c:numCache>
            </c:numRef>
          </c:val>
        </c:ser>
        <c:ser>
          <c:idx val="7"/>
          <c:order val="7"/>
          <c:tx>
            <c:strRef>
              <c:f>F2911V!$A$1</c:f>
              <c:strCache>
                <c:ptCount val="1"/>
                <c:pt idx="0">
                  <c:v>F2911V</c:v>
                </c:pt>
              </c:strCache>
            </c:strRef>
          </c:tx>
          <c:invertIfNegative val="0"/>
          <c:val>
            <c:numRef>
              <c:f>F2911V!$B$9:$B$11</c:f>
              <c:numCache>
                <c:formatCode>General</c:formatCode>
                <c:ptCount val="3"/>
                <c:pt idx="0">
                  <c:v>5.7339135319504404</c:v>
                </c:pt>
                <c:pt idx="1">
                  <c:v>947.47974867105211</c:v>
                </c:pt>
                <c:pt idx="2">
                  <c:v>25.00733135291642</c:v>
                </c:pt>
              </c:numCache>
            </c:numRef>
          </c:val>
        </c:ser>
        <c:ser>
          <c:idx val="8"/>
          <c:order val="8"/>
          <c:tx>
            <c:strRef>
              <c:f>F2935H!$A$1</c:f>
              <c:strCache>
                <c:ptCount val="1"/>
                <c:pt idx="0">
                  <c:v>F2935H</c:v>
                </c:pt>
              </c:strCache>
            </c:strRef>
          </c:tx>
          <c:invertIfNegative val="0"/>
          <c:val>
            <c:numRef>
              <c:f>F2935H!$B$9:$B$11</c:f>
              <c:numCache>
                <c:formatCode>General</c:formatCode>
                <c:ptCount val="3"/>
                <c:pt idx="0">
                  <c:v>5.7339135319504404</c:v>
                </c:pt>
                <c:pt idx="1">
                  <c:v>1157.5845119386561</c:v>
                </c:pt>
                <c:pt idx="2">
                  <c:v>24.753809787417001</c:v>
                </c:pt>
              </c:numCache>
            </c:numRef>
          </c:val>
        </c:ser>
        <c:ser>
          <c:idx val="9"/>
          <c:order val="9"/>
          <c:tx>
            <c:strRef>
              <c:f>F2870H!$A$1</c:f>
              <c:strCache>
                <c:ptCount val="1"/>
                <c:pt idx="0">
                  <c:v>F2870H(6mm)</c:v>
                </c:pt>
              </c:strCache>
            </c:strRef>
          </c:tx>
          <c:invertIfNegative val="0"/>
          <c:val>
            <c:numRef>
              <c:f>F2870H!$B$9:$B$11</c:f>
              <c:numCache>
                <c:formatCode>General</c:formatCode>
                <c:ptCount val="3"/>
                <c:pt idx="0">
                  <c:v>15.03459217466796</c:v>
                </c:pt>
                <c:pt idx="1">
                  <c:v>490.12934571376678</c:v>
                </c:pt>
                <c:pt idx="2">
                  <c:v>51.217537483850123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3533312"/>
        <c:axId val="223539200"/>
      </c:barChart>
      <c:catAx>
        <c:axId val="223533312"/>
        <c:scaling>
          <c:orientation val="minMax"/>
        </c:scaling>
        <c:delete val="0"/>
        <c:axPos val="b"/>
        <c:majorTickMark val="out"/>
        <c:minorTickMark val="none"/>
        <c:tickLblPos val="nextTo"/>
        <c:crossAx val="223539200"/>
        <c:crosses val="autoZero"/>
        <c:auto val="1"/>
        <c:lblAlgn val="ctr"/>
        <c:lblOffset val="100"/>
        <c:noMultiLvlLbl val="0"/>
      </c:catAx>
      <c:valAx>
        <c:axId val="223539200"/>
        <c:scaling>
          <c:orientation val="minMax"/>
          <c:max val="2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Pore diameter (µm)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23533312"/>
        <c:crosses val="autoZero"/>
        <c:crossBetween val="between"/>
        <c:majorUnit val="100"/>
      </c:valAx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 sz="2000"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pt-BR" sz="1600" b="1" i="0" baseline="0">
                <a:effectLst/>
              </a:rPr>
              <a:t>Micro CT - Well 861</a:t>
            </a:r>
            <a:endParaRPr lang="pt-BR" sz="1600">
              <a:effectLst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Plots!$R$5</c:f>
              <c:strCache>
                <c:ptCount val="1"/>
                <c:pt idx="0">
                  <c:v>&lt; 5E2 (µm²) -&gt; micropore</c:v>
                </c:pt>
              </c:strCache>
            </c:strRef>
          </c:tx>
          <c:invertIfNegative val="0"/>
          <c:cat>
            <c:strRef>
              <c:f>Plots!$S$3:$AB$4</c:f>
              <c:strCache>
                <c:ptCount val="10"/>
                <c:pt idx="0">
                  <c:v>F2829V</c:v>
                </c:pt>
                <c:pt idx="1">
                  <c:v>F2830H</c:v>
                </c:pt>
                <c:pt idx="2">
                  <c:v>F2852H</c:v>
                </c:pt>
                <c:pt idx="3">
                  <c:v>F2854H</c:v>
                </c:pt>
                <c:pt idx="4">
                  <c:v>F2859H</c:v>
                </c:pt>
                <c:pt idx="5">
                  <c:v>F2880H</c:v>
                </c:pt>
                <c:pt idx="6">
                  <c:v>F2910H</c:v>
                </c:pt>
                <c:pt idx="7">
                  <c:v>F2911V</c:v>
                </c:pt>
                <c:pt idx="8">
                  <c:v>F2935H</c:v>
                </c:pt>
                <c:pt idx="9">
                  <c:v>F2870H(6mm)</c:v>
                </c:pt>
              </c:strCache>
            </c:strRef>
          </c:cat>
          <c:val>
            <c:numRef>
              <c:f>Plots!$S$5:$AB$5</c:f>
              <c:numCache>
                <c:formatCode>0.00</c:formatCode>
                <c:ptCount val="10"/>
                <c:pt idx="0">
                  <c:v>4.0378840524791047E-3</c:v>
                </c:pt>
                <c:pt idx="1">
                  <c:v>2.0128435043619262</c:v>
                </c:pt>
                <c:pt idx="2">
                  <c:v>0.71129622240410839</c:v>
                </c:pt>
                <c:pt idx="3">
                  <c:v>5.8768826777561782E-2</c:v>
                </c:pt>
                <c:pt idx="4">
                  <c:v>9.2906753568840178E-2</c:v>
                </c:pt>
                <c:pt idx="5">
                  <c:v>0.87282733565204085</c:v>
                </c:pt>
                <c:pt idx="6">
                  <c:v>0.59090499456279222</c:v>
                </c:pt>
                <c:pt idx="7">
                  <c:v>0.82408015022834236</c:v>
                </c:pt>
                <c:pt idx="8">
                  <c:v>0.97930080089677474</c:v>
                </c:pt>
                <c:pt idx="9">
                  <c:v>1.987423606017307E-3</c:v>
                </c:pt>
              </c:numCache>
            </c:numRef>
          </c:val>
        </c:ser>
        <c:ser>
          <c:idx val="1"/>
          <c:order val="1"/>
          <c:tx>
            <c:strRef>
              <c:f>Plots!$R$6</c:f>
              <c:strCache>
                <c:ptCount val="1"/>
                <c:pt idx="0">
                  <c:v>5E2:5E3 (µm²)</c:v>
                </c:pt>
              </c:strCache>
            </c:strRef>
          </c:tx>
          <c:invertIfNegative val="0"/>
          <c:cat>
            <c:strRef>
              <c:f>Plots!$S$3:$AB$4</c:f>
              <c:strCache>
                <c:ptCount val="10"/>
                <c:pt idx="0">
                  <c:v>F2829V</c:v>
                </c:pt>
                <c:pt idx="1">
                  <c:v>F2830H</c:v>
                </c:pt>
                <c:pt idx="2">
                  <c:v>F2852H</c:v>
                </c:pt>
                <c:pt idx="3">
                  <c:v>F2854H</c:v>
                </c:pt>
                <c:pt idx="4">
                  <c:v>F2859H</c:v>
                </c:pt>
                <c:pt idx="5">
                  <c:v>F2880H</c:v>
                </c:pt>
                <c:pt idx="6">
                  <c:v>F2910H</c:v>
                </c:pt>
                <c:pt idx="7">
                  <c:v>F2911V</c:v>
                </c:pt>
                <c:pt idx="8">
                  <c:v>F2935H</c:v>
                </c:pt>
                <c:pt idx="9">
                  <c:v>F2870H(6mm)</c:v>
                </c:pt>
              </c:strCache>
            </c:strRef>
          </c:cat>
          <c:val>
            <c:numRef>
              <c:f>Plots!$S$6:$AB$6</c:f>
              <c:numCache>
                <c:formatCode>0.00</c:formatCode>
                <c:ptCount val="10"/>
                <c:pt idx="0">
                  <c:v>2.2352470679150721E-3</c:v>
                </c:pt>
                <c:pt idx="1">
                  <c:v>2.6534950001318549</c:v>
                </c:pt>
                <c:pt idx="2">
                  <c:v>1.4905401440153121</c:v>
                </c:pt>
                <c:pt idx="3">
                  <c:v>0.81398292519077509</c:v>
                </c:pt>
                <c:pt idx="4">
                  <c:v>1.4059915602822799</c:v>
                </c:pt>
                <c:pt idx="5">
                  <c:v>5.480308072336431</c:v>
                </c:pt>
                <c:pt idx="6">
                  <c:v>3.297597776982947</c:v>
                </c:pt>
                <c:pt idx="7">
                  <c:v>5.3036508280998884</c:v>
                </c:pt>
                <c:pt idx="8">
                  <c:v>5.6283702457830644</c:v>
                </c:pt>
                <c:pt idx="9">
                  <c:v>0.1244835686656363</c:v>
                </c:pt>
              </c:numCache>
            </c:numRef>
          </c:val>
        </c:ser>
        <c:ser>
          <c:idx val="2"/>
          <c:order val="2"/>
          <c:tx>
            <c:strRef>
              <c:f>Plots!$R$7</c:f>
              <c:strCache>
                <c:ptCount val="1"/>
                <c:pt idx="0">
                  <c:v>5E3:5E4 (µm²)</c:v>
                </c:pt>
              </c:strCache>
            </c:strRef>
          </c:tx>
          <c:invertIfNegative val="0"/>
          <c:cat>
            <c:strRef>
              <c:f>Plots!$S$3:$AB$4</c:f>
              <c:strCache>
                <c:ptCount val="10"/>
                <c:pt idx="0">
                  <c:v>F2829V</c:v>
                </c:pt>
                <c:pt idx="1">
                  <c:v>F2830H</c:v>
                </c:pt>
                <c:pt idx="2">
                  <c:v>F2852H</c:v>
                </c:pt>
                <c:pt idx="3">
                  <c:v>F2854H</c:v>
                </c:pt>
                <c:pt idx="4">
                  <c:v>F2859H</c:v>
                </c:pt>
                <c:pt idx="5">
                  <c:v>F2880H</c:v>
                </c:pt>
                <c:pt idx="6">
                  <c:v>F2910H</c:v>
                </c:pt>
                <c:pt idx="7">
                  <c:v>F2911V</c:v>
                </c:pt>
                <c:pt idx="8">
                  <c:v>F2935H</c:v>
                </c:pt>
                <c:pt idx="9">
                  <c:v>F2870H(6mm)</c:v>
                </c:pt>
              </c:strCache>
            </c:strRef>
          </c:cat>
          <c:val>
            <c:numRef>
              <c:f>Plots!$S$7:$AB$7</c:f>
              <c:numCache>
                <c:formatCode>0.00</c:formatCode>
                <c:ptCount val="10"/>
                <c:pt idx="0">
                  <c:v>0</c:v>
                </c:pt>
                <c:pt idx="1">
                  <c:v>0.12672927966014139</c:v>
                </c:pt>
                <c:pt idx="2">
                  <c:v>0.1529845818334902</c:v>
                </c:pt>
                <c:pt idx="3">
                  <c:v>1.524823428009364</c:v>
                </c:pt>
                <c:pt idx="4">
                  <c:v>1.9686538935296141</c:v>
                </c:pt>
                <c:pt idx="5">
                  <c:v>2.4738065451683431</c:v>
                </c:pt>
                <c:pt idx="6">
                  <c:v>3.652506502521462</c:v>
                </c:pt>
                <c:pt idx="7">
                  <c:v>3.982316396703347</c:v>
                </c:pt>
                <c:pt idx="8">
                  <c:v>5.8716375996853243</c:v>
                </c:pt>
                <c:pt idx="9">
                  <c:v>5.8716375996853243</c:v>
                </c:pt>
              </c:numCache>
            </c:numRef>
          </c:val>
        </c:ser>
        <c:ser>
          <c:idx val="3"/>
          <c:order val="3"/>
          <c:tx>
            <c:strRef>
              <c:f>Plots!$R$8</c:f>
              <c:strCache>
                <c:ptCount val="1"/>
                <c:pt idx="0">
                  <c:v>&gt; 5E4 (µm²)</c:v>
                </c:pt>
              </c:strCache>
            </c:strRef>
          </c:tx>
          <c:invertIfNegative val="0"/>
          <c:cat>
            <c:strRef>
              <c:f>Plots!$S$3:$AB$4</c:f>
              <c:strCache>
                <c:ptCount val="10"/>
                <c:pt idx="0">
                  <c:v>F2829V</c:v>
                </c:pt>
                <c:pt idx="1">
                  <c:v>F2830H</c:v>
                </c:pt>
                <c:pt idx="2">
                  <c:v>F2852H</c:v>
                </c:pt>
                <c:pt idx="3">
                  <c:v>F2854H</c:v>
                </c:pt>
                <c:pt idx="4">
                  <c:v>F2859H</c:v>
                </c:pt>
                <c:pt idx="5">
                  <c:v>F2880H</c:v>
                </c:pt>
                <c:pt idx="6">
                  <c:v>F2910H</c:v>
                </c:pt>
                <c:pt idx="7">
                  <c:v>F2911V</c:v>
                </c:pt>
                <c:pt idx="8">
                  <c:v>F2935H</c:v>
                </c:pt>
                <c:pt idx="9">
                  <c:v>F2870H(6mm)</c:v>
                </c:pt>
              </c:strCache>
            </c:strRef>
          </c:cat>
          <c:val>
            <c:numRef>
              <c:f>Plots!$S$8:$AB$8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0.53287974748047695</c:v>
                </c:pt>
                <c:pt idx="4">
                  <c:v>0.33187218784510503</c:v>
                </c:pt>
                <c:pt idx="5">
                  <c:v>0.30520454421740489</c:v>
                </c:pt>
                <c:pt idx="6">
                  <c:v>1.149835745511923</c:v>
                </c:pt>
                <c:pt idx="7">
                  <c:v>1.206216524405586</c:v>
                </c:pt>
                <c:pt idx="8">
                  <c:v>1.221666333776662</c:v>
                </c:pt>
                <c:pt idx="9">
                  <c:v>2.5390157908788721E-2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3591040"/>
        <c:axId val="223596928"/>
      </c:barChart>
      <c:catAx>
        <c:axId val="22359104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223596928"/>
        <c:crosses val="autoZero"/>
        <c:auto val="1"/>
        <c:lblAlgn val="ctr"/>
        <c:lblOffset val="100"/>
        <c:noMultiLvlLbl val="0"/>
      </c:catAx>
      <c:valAx>
        <c:axId val="223596928"/>
        <c:scaling>
          <c:orientation val="minMax"/>
          <c:max val="11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/>
                  <a:t>Image Porosity contribution (%)</a:t>
                </a:r>
              </a:p>
            </c:rich>
          </c:tx>
          <c:layout/>
          <c:overlay val="0"/>
        </c:title>
        <c:numFmt formatCode="0.0" sourceLinked="0"/>
        <c:majorTickMark val="out"/>
        <c:minorTickMark val="none"/>
        <c:tickLblPos val="nextTo"/>
        <c:crossAx val="223591040"/>
        <c:crosses val="autoZero"/>
        <c:crossBetween val="between"/>
        <c:majorUnit val="1"/>
      </c:valAx>
    </c:plotArea>
    <c:legend>
      <c:legendPos val="b"/>
      <c:layout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200"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 sz="1800" b="1" i="0" baseline="0">
                <a:effectLst/>
              </a:rPr>
              <a:t>Micro CT </a:t>
            </a:r>
            <a:r>
              <a:rPr lang="pt-BR" sz="1800" b="1" i="0" u="none" strike="noStrike" baseline="0">
                <a:effectLst/>
              </a:rPr>
              <a:t>- Well 861</a:t>
            </a:r>
            <a:endParaRPr lang="pt-BR" sz="1800">
              <a:effectLst/>
            </a:endParaRP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F2829V!$A$1</c:f>
              <c:strCache>
                <c:ptCount val="1"/>
                <c:pt idx="0">
                  <c:v>F2829V</c:v>
                </c:pt>
              </c:strCache>
            </c:strRef>
          </c:tx>
          <c:xVal>
            <c:numRef>
              <c:f>Plots!$A$2:$A$11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F2829V!$J$52:$J$61</c:f>
              <c:numCache>
                <c:formatCode>General</c:formatCode>
                <c:ptCount val="10"/>
                <c:pt idx="0">
                  <c:v>0</c:v>
                </c:pt>
                <c:pt idx="1">
                  <c:v>29.733722983</c:v>
                </c:pt>
                <c:pt idx="2">
                  <c:v>28.661706365000001</c:v>
                </c:pt>
                <c:pt idx="3">
                  <c:v>23.009632145000001</c:v>
                </c:pt>
                <c:pt idx="4">
                  <c:v>25.753342570000001</c:v>
                </c:pt>
                <c:pt idx="5">
                  <c:v>23.77621413</c:v>
                </c:pt>
                <c:pt idx="6">
                  <c:v>16.23924586</c:v>
                </c:pt>
                <c:pt idx="7">
                  <c:v>14.79052371</c:v>
                </c:pt>
                <c:pt idx="8">
                  <c:v>18.619499170000001</c:v>
                </c:pt>
                <c:pt idx="9">
                  <c:v>10.61626278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F2830H!$A$1</c:f>
              <c:strCache>
                <c:ptCount val="1"/>
                <c:pt idx="0">
                  <c:v>F2830H</c:v>
                </c:pt>
              </c:strCache>
            </c:strRef>
          </c:tx>
          <c:xVal>
            <c:numRef>
              <c:f>Plots!$A$2:$A$11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F2830H!$J$52:$J$61</c:f>
              <c:numCache>
                <c:formatCode>General</c:formatCode>
                <c:ptCount val="10"/>
                <c:pt idx="0">
                  <c:v>23.556430679000009</c:v>
                </c:pt>
                <c:pt idx="1">
                  <c:v>35.945482070000011</c:v>
                </c:pt>
                <c:pt idx="2">
                  <c:v>54.35685234000001</c:v>
                </c:pt>
                <c:pt idx="3">
                  <c:v>53.524754135000002</c:v>
                </c:pt>
                <c:pt idx="4">
                  <c:v>54.282978070000013</c:v>
                </c:pt>
                <c:pt idx="5">
                  <c:v>48.665079089999999</c:v>
                </c:pt>
                <c:pt idx="6">
                  <c:v>46.339848744999998</c:v>
                </c:pt>
                <c:pt idx="7">
                  <c:v>43.247743065000009</c:v>
                </c:pt>
                <c:pt idx="8">
                  <c:v>37.310708939999998</c:v>
                </c:pt>
                <c:pt idx="9">
                  <c:v>29.14906903</c:v>
                </c:pt>
              </c:numCache>
            </c:numRef>
          </c:yVal>
          <c:smooth val="1"/>
        </c:ser>
        <c:ser>
          <c:idx val="3"/>
          <c:order val="2"/>
          <c:tx>
            <c:strRef>
              <c:f>F2852H!$A$1</c:f>
              <c:strCache>
                <c:ptCount val="1"/>
                <c:pt idx="0">
                  <c:v>F2852H</c:v>
                </c:pt>
              </c:strCache>
            </c:strRef>
          </c:tx>
          <c:xVal>
            <c:numRef>
              <c:f>Plots!$A$2:$A$11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F2852H!$J$52:$J$61</c:f>
              <c:numCache>
                <c:formatCode>General</c:formatCode>
                <c:ptCount val="10"/>
                <c:pt idx="0">
                  <c:v>0</c:v>
                </c:pt>
                <c:pt idx="1">
                  <c:v>36.424812205000002</c:v>
                </c:pt>
                <c:pt idx="2">
                  <c:v>55.349702065000002</c:v>
                </c:pt>
                <c:pt idx="3">
                  <c:v>86.012322955000016</c:v>
                </c:pt>
                <c:pt idx="4">
                  <c:v>82.095857144999997</c:v>
                </c:pt>
                <c:pt idx="5">
                  <c:v>60.656476599999998</c:v>
                </c:pt>
                <c:pt idx="6">
                  <c:v>60.054454560000003</c:v>
                </c:pt>
                <c:pt idx="7">
                  <c:v>80.895177430000018</c:v>
                </c:pt>
                <c:pt idx="8">
                  <c:v>35.500007609999997</c:v>
                </c:pt>
                <c:pt idx="9">
                  <c:v>15.051764455000001</c:v>
                </c:pt>
              </c:numCache>
            </c:numRef>
          </c:yVal>
          <c:smooth val="1"/>
        </c:ser>
        <c:ser>
          <c:idx val="4"/>
          <c:order val="3"/>
          <c:tx>
            <c:strRef>
              <c:f>F2854H!$A$1</c:f>
              <c:strCache>
                <c:ptCount val="1"/>
                <c:pt idx="0">
                  <c:v>F2854H</c:v>
                </c:pt>
              </c:strCache>
            </c:strRef>
          </c:tx>
          <c:xVal>
            <c:numRef>
              <c:f>Plots!$A$2:$A$11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F2854H!$J$52:$J$61</c:f>
              <c:numCache>
                <c:formatCode>General</c:formatCode>
                <c:ptCount val="10"/>
                <c:pt idx="0">
                  <c:v>43.044708673000002</c:v>
                </c:pt>
                <c:pt idx="1">
                  <c:v>72.567171400000007</c:v>
                </c:pt>
                <c:pt idx="2">
                  <c:v>107.29628995</c:v>
                </c:pt>
                <c:pt idx="3">
                  <c:v>147.32968077500001</c:v>
                </c:pt>
                <c:pt idx="4">
                  <c:v>175.73649760000001</c:v>
                </c:pt>
                <c:pt idx="5">
                  <c:v>146.9512928</c:v>
                </c:pt>
                <c:pt idx="6">
                  <c:v>215.00767775</c:v>
                </c:pt>
                <c:pt idx="7">
                  <c:v>194.12322850000001</c:v>
                </c:pt>
                <c:pt idx="8">
                  <c:v>84.564239045000008</c:v>
                </c:pt>
                <c:pt idx="9">
                  <c:v>52.163865169999987</c:v>
                </c:pt>
              </c:numCache>
            </c:numRef>
          </c:yVal>
          <c:smooth val="1"/>
        </c:ser>
        <c:ser>
          <c:idx val="6"/>
          <c:order val="4"/>
          <c:tx>
            <c:strRef>
              <c:f>F2859H!$A$1</c:f>
              <c:strCache>
                <c:ptCount val="1"/>
                <c:pt idx="0">
                  <c:v>F2859H</c:v>
                </c:pt>
              </c:strCache>
            </c:strRef>
          </c:tx>
          <c:xVal>
            <c:numRef>
              <c:f>Plots!$A$2:$A$11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F2859H!$J$52:$J$61</c:f>
              <c:numCache>
                <c:formatCode>General</c:formatCode>
                <c:ptCount val="10"/>
                <c:pt idx="0">
                  <c:v>17.848992340999999</c:v>
                </c:pt>
                <c:pt idx="1">
                  <c:v>53.073411585000002</c:v>
                </c:pt>
                <c:pt idx="2">
                  <c:v>80.773321175000007</c:v>
                </c:pt>
                <c:pt idx="3">
                  <c:v>132.96569661000001</c:v>
                </c:pt>
                <c:pt idx="4">
                  <c:v>128.32354391499999</c:v>
                </c:pt>
                <c:pt idx="5">
                  <c:v>153.06774920000001</c:v>
                </c:pt>
                <c:pt idx="6">
                  <c:v>134.71167944999999</c:v>
                </c:pt>
                <c:pt idx="7">
                  <c:v>116.16179815</c:v>
                </c:pt>
                <c:pt idx="8">
                  <c:v>89.470695335000002</c:v>
                </c:pt>
                <c:pt idx="9">
                  <c:v>43.81447025500001</c:v>
                </c:pt>
              </c:numCache>
            </c:numRef>
          </c:yVal>
          <c:smooth val="1"/>
        </c:ser>
        <c:ser>
          <c:idx val="1"/>
          <c:order val="5"/>
          <c:tx>
            <c:strRef>
              <c:f>F2880H!$A$1</c:f>
              <c:strCache>
                <c:ptCount val="1"/>
                <c:pt idx="0">
                  <c:v>F2880H</c:v>
                </c:pt>
              </c:strCache>
            </c:strRef>
          </c:tx>
          <c:xVal>
            <c:numRef>
              <c:f>Plots!$A$2:$A$11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F2880H!$J$52:$J$61</c:f>
              <c:numCache>
                <c:formatCode>General</c:formatCode>
                <c:ptCount val="10"/>
                <c:pt idx="0">
                  <c:v>19.4841884065</c:v>
                </c:pt>
                <c:pt idx="1">
                  <c:v>107.113391565</c:v>
                </c:pt>
                <c:pt idx="2">
                  <c:v>95.578370645000007</c:v>
                </c:pt>
                <c:pt idx="3">
                  <c:v>125.56599056500001</c:v>
                </c:pt>
                <c:pt idx="4">
                  <c:v>179.18827304999999</c:v>
                </c:pt>
                <c:pt idx="5">
                  <c:v>152.31984109999999</c:v>
                </c:pt>
                <c:pt idx="6">
                  <c:v>163.92480850000001</c:v>
                </c:pt>
                <c:pt idx="7">
                  <c:v>188.93485095</c:v>
                </c:pt>
                <c:pt idx="8">
                  <c:v>112.99030215000001</c:v>
                </c:pt>
                <c:pt idx="9">
                  <c:v>29.985170230000001</c:v>
                </c:pt>
              </c:numCache>
            </c:numRef>
          </c:yVal>
          <c:smooth val="1"/>
        </c:ser>
        <c:ser>
          <c:idx val="5"/>
          <c:order val="6"/>
          <c:tx>
            <c:strRef>
              <c:f>F2910H!$A$1</c:f>
              <c:strCache>
                <c:ptCount val="1"/>
                <c:pt idx="0">
                  <c:v>F2910H</c:v>
                </c:pt>
              </c:strCache>
            </c:strRef>
          </c:tx>
          <c:xVal>
            <c:numRef>
              <c:f>Plots!$A$2:$A$11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F2910H!$J$52:$J$61</c:f>
              <c:numCache>
                <c:formatCode>General</c:formatCode>
                <c:ptCount val="10"/>
                <c:pt idx="0">
                  <c:v>13.696853074</c:v>
                </c:pt>
                <c:pt idx="1">
                  <c:v>66.792610095000001</c:v>
                </c:pt>
                <c:pt idx="2">
                  <c:v>69.598272945000005</c:v>
                </c:pt>
                <c:pt idx="3">
                  <c:v>208.26678010000009</c:v>
                </c:pt>
                <c:pt idx="4">
                  <c:v>426.48916630000002</c:v>
                </c:pt>
                <c:pt idx="5">
                  <c:v>215.85415395000001</c:v>
                </c:pt>
                <c:pt idx="6">
                  <c:v>158.71576965</c:v>
                </c:pt>
                <c:pt idx="7">
                  <c:v>146.00722020000001</c:v>
                </c:pt>
                <c:pt idx="8">
                  <c:v>133.2991778</c:v>
                </c:pt>
                <c:pt idx="9">
                  <c:v>27.657573450000012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F2911V!$A$1</c:f>
              <c:strCache>
                <c:ptCount val="1"/>
                <c:pt idx="0">
                  <c:v>F2911V</c:v>
                </c:pt>
              </c:strCache>
            </c:strRef>
          </c:tx>
          <c:xVal>
            <c:numRef>
              <c:f>Plots!$A$2:$A$11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F2911V!$J$52:$J$61</c:f>
              <c:numCache>
                <c:formatCode>General</c:formatCode>
                <c:ptCount val="10"/>
                <c:pt idx="0">
                  <c:v>0</c:v>
                </c:pt>
                <c:pt idx="1">
                  <c:v>71.831731470000008</c:v>
                </c:pt>
                <c:pt idx="2">
                  <c:v>138.050692795</c:v>
                </c:pt>
                <c:pt idx="3">
                  <c:v>162.54507573000001</c:v>
                </c:pt>
                <c:pt idx="4">
                  <c:v>290.54028265000011</c:v>
                </c:pt>
                <c:pt idx="5">
                  <c:v>263.0675119</c:v>
                </c:pt>
                <c:pt idx="6">
                  <c:v>182.22454415000001</c:v>
                </c:pt>
                <c:pt idx="7">
                  <c:v>123.59675765</c:v>
                </c:pt>
                <c:pt idx="8">
                  <c:v>140.7484311</c:v>
                </c:pt>
                <c:pt idx="9">
                  <c:v>27.272361024999999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F2935H!$A$1</c:f>
              <c:strCache>
                <c:ptCount val="1"/>
                <c:pt idx="0">
                  <c:v>F2935H</c:v>
                </c:pt>
              </c:strCache>
            </c:strRef>
          </c:tx>
          <c:xVal>
            <c:numRef>
              <c:f>Plots!$A$2:$A$11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F2935H!$J$52:$J$61</c:f>
              <c:numCache>
                <c:formatCode>General</c:formatCode>
                <c:ptCount val="10"/>
                <c:pt idx="0">
                  <c:v>0</c:v>
                </c:pt>
                <c:pt idx="1">
                  <c:v>51.246127469999998</c:v>
                </c:pt>
                <c:pt idx="2">
                  <c:v>111.01266927</c:v>
                </c:pt>
                <c:pt idx="3">
                  <c:v>386.37350609999999</c:v>
                </c:pt>
                <c:pt idx="4">
                  <c:v>152.33224404000001</c:v>
                </c:pt>
                <c:pt idx="5">
                  <c:v>264.20649620000012</c:v>
                </c:pt>
                <c:pt idx="6">
                  <c:v>191.67741580000001</c:v>
                </c:pt>
                <c:pt idx="7">
                  <c:v>196.74697524999999</c:v>
                </c:pt>
                <c:pt idx="8">
                  <c:v>122.6538394</c:v>
                </c:pt>
                <c:pt idx="9">
                  <c:v>95.646655304999996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F2870H!$A$1</c:f>
              <c:strCache>
                <c:ptCount val="1"/>
                <c:pt idx="0">
                  <c:v>F2870H(6mm)</c:v>
                </c:pt>
              </c:strCache>
            </c:strRef>
          </c:tx>
          <c:xVal>
            <c:numRef>
              <c:f>Plots!$A$2:$A$11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F2870H!$J$52:$J$61</c:f>
              <c:numCache>
                <c:formatCode>General</c:formatCode>
                <c:ptCount val="10"/>
                <c:pt idx="0">
                  <c:v>63.194374884500007</c:v>
                </c:pt>
                <c:pt idx="1">
                  <c:v>53.647565524999997</c:v>
                </c:pt>
                <c:pt idx="2">
                  <c:v>121.169539505</c:v>
                </c:pt>
                <c:pt idx="3">
                  <c:v>198.00050820000001</c:v>
                </c:pt>
                <c:pt idx="4">
                  <c:v>228.17153975000011</c:v>
                </c:pt>
                <c:pt idx="5">
                  <c:v>181.81642325000001</c:v>
                </c:pt>
                <c:pt idx="6">
                  <c:v>183.82185369999999</c:v>
                </c:pt>
                <c:pt idx="7">
                  <c:v>113.99690237</c:v>
                </c:pt>
                <c:pt idx="8">
                  <c:v>72.208344830000001</c:v>
                </c:pt>
                <c:pt idx="9">
                  <c:v>33.767454620000009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797632"/>
        <c:axId val="223799552"/>
      </c:scatterChart>
      <c:valAx>
        <c:axId val="223797632"/>
        <c:scaling>
          <c:orientation val="minMax"/>
          <c:max val="1"/>
          <c:min val="0.1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 sz="1800" b="1" i="0" baseline="0">
                    <a:effectLst/>
                  </a:rPr>
                  <a:t>Pore aspect ratio</a:t>
                </a:r>
                <a:endParaRPr lang="pt-BR">
                  <a:effectLst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3799552"/>
        <c:crosses val="autoZero"/>
        <c:crossBetween val="midCat"/>
        <c:majorUnit val="0.1"/>
        <c:minorUnit val="4.0000000000000008E-2"/>
      </c:valAx>
      <c:valAx>
        <c:axId val="223799552"/>
        <c:scaling>
          <c:orientation val="minMax"/>
          <c:max val="5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 sz="1800" b="1" i="0" baseline="0">
                    <a:effectLst/>
                  </a:rPr>
                  <a:t>Maximum pore diameter (µm)</a:t>
                </a:r>
                <a:endParaRPr lang="pt-BR">
                  <a:effectLst/>
                </a:endParaRPr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3797632"/>
        <c:crosses val="autoZero"/>
        <c:crossBetween val="midCat"/>
        <c:majorUnit val="50"/>
      </c:valAx>
    </c:plotArea>
    <c:legend>
      <c:legendPos val="r"/>
      <c:layout>
        <c:manualLayout>
          <c:xMode val="edge"/>
          <c:yMode val="edge"/>
          <c:x val="0.81277088435924949"/>
          <c:y val="1.4578740157480312E-2"/>
          <c:w val="0.18722911564075057"/>
          <c:h val="0.50814233722643409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  <c:txPr>
        <a:bodyPr/>
        <a:lstStyle/>
        <a:p>
          <a:pPr>
            <a:defRPr sz="14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2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/>
            </a:pPr>
            <a:r>
              <a:rPr lang="pt-BR" sz="1800"/>
              <a:t>Micro CT (sample ~2.5 mm in diameter)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#REF!</c:v>
          </c:tx>
          <c:cat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smooth val="0"/>
        </c:ser>
        <c:ser>
          <c:idx val="1"/>
          <c:order val="1"/>
          <c:tx>
            <c:v>#REF!</c:v>
          </c:tx>
          <c:cat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smooth val="0"/>
        </c:ser>
        <c:ser>
          <c:idx val="2"/>
          <c:order val="2"/>
          <c:tx>
            <c:v>#REF!</c:v>
          </c:tx>
          <c:cat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smooth val="0"/>
        </c:ser>
        <c:ser>
          <c:idx val="3"/>
          <c:order val="3"/>
          <c:tx>
            <c:v>#REF!</c:v>
          </c:tx>
          <c:cat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smooth val="0"/>
        </c:ser>
        <c:ser>
          <c:idx val="4"/>
          <c:order val="4"/>
          <c:tx>
            <c:v>#REF!</c:v>
          </c:tx>
          <c:cat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831552"/>
        <c:axId val="223833472"/>
      </c:lineChart>
      <c:catAx>
        <c:axId val="223831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Confining Pressure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223833472"/>
        <c:crosses val="autoZero"/>
        <c:auto val="1"/>
        <c:lblAlgn val="ctr"/>
        <c:lblOffset val="100"/>
        <c:noMultiLvlLbl val="0"/>
      </c:catAx>
      <c:valAx>
        <c:axId val="2238334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pt-BR" sz="1400"/>
                  <a:t>Micro porosity</a:t>
                </a:r>
                <a:r>
                  <a:rPr lang="pt-BR" sz="1400" baseline="0"/>
                  <a:t> estimation (%)</a:t>
                </a:r>
                <a:endParaRPr lang="pt-BR" sz="14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383155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200"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 sz="1800" b="1" i="0" baseline="0">
                <a:effectLst/>
              </a:rPr>
              <a:t>Micro CT (sample ~38 mm in diameter)</a:t>
            </a:r>
            <a:endParaRPr lang="pt-BR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Micro - Ambient</c:v>
          </c:tx>
          <c:cat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  <c:smooth val="0"/>
        </c:ser>
        <c:ser>
          <c:idx val="2"/>
          <c:order val="1"/>
          <c:tx>
            <c:v>Micro - 5.5 MPa</c:v>
          </c:tx>
          <c:cat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  <c:smooth val="0"/>
        </c:ser>
        <c:ser>
          <c:idx val="3"/>
          <c:order val="2"/>
          <c:tx>
            <c:v>Micro - 8.3 MPa</c:v>
          </c:tx>
          <c:cat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  <c:smooth val="0"/>
        </c:ser>
        <c:ser>
          <c:idx val="4"/>
          <c:order val="3"/>
          <c:tx>
            <c:v>Micro - 11 MPa</c:v>
          </c:tx>
          <c:cat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  <c:smooth val="0"/>
        </c:ser>
        <c:ser>
          <c:idx val="5"/>
          <c:order val="4"/>
          <c:tx>
            <c:v>Micro - 13.8 MPa</c:v>
          </c:tx>
          <c:cat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  <c:smooth val="0"/>
        </c:ser>
        <c:ser>
          <c:idx val="6"/>
          <c:order val="5"/>
          <c:tx>
            <c:v>Micro - 16.5 MPa</c:v>
          </c:tx>
          <c:cat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  <c:smooth val="0"/>
        </c:ser>
        <c:ser>
          <c:idx val="7"/>
          <c:order val="6"/>
          <c:tx>
            <c:v>Micro - 19.3 MPa</c:v>
          </c:tx>
          <c:cat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  <c:smooth val="0"/>
        </c:ser>
        <c:ser>
          <c:idx val="8"/>
          <c:order val="7"/>
          <c:tx>
            <c:v>Micro - 22.1 MPa</c:v>
          </c:tx>
          <c:cat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536064"/>
        <c:axId val="224537600"/>
      </c:lineChart>
      <c:catAx>
        <c:axId val="224536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224537600"/>
        <c:crosses val="autoZero"/>
        <c:auto val="1"/>
        <c:lblAlgn val="ctr"/>
        <c:lblOffset val="100"/>
        <c:noMultiLvlLbl val="0"/>
      </c:catAx>
      <c:valAx>
        <c:axId val="2245376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 sz="1400" b="1" i="0" baseline="0">
                    <a:effectLst/>
                  </a:rPr>
                  <a:t>Micro porosity estimation (%)</a:t>
                </a:r>
                <a:endParaRPr lang="pt-BR" sz="1400">
                  <a:effectLst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453606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200"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Micro CT (sample ~38 mm in diameter)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#REF!</c:v>
          </c:tx>
          <c:cat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</c:numLit>
          </c:val>
          <c:smooth val="0"/>
        </c:ser>
        <c:ser>
          <c:idx val="1"/>
          <c:order val="1"/>
          <c:tx>
            <c:v>#REF!</c:v>
          </c:tx>
          <c:cat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</c:numLit>
          </c:val>
          <c:smooth val="0"/>
        </c:ser>
        <c:ser>
          <c:idx val="2"/>
          <c:order val="2"/>
          <c:tx>
            <c:v>#REF!</c:v>
          </c:tx>
          <c:cat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</c:numLit>
          </c:val>
          <c:smooth val="0"/>
        </c:ser>
        <c:ser>
          <c:idx val="3"/>
          <c:order val="3"/>
          <c:tx>
            <c:v>#REF!</c:v>
          </c:tx>
          <c:cat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</c:numLit>
          </c:val>
          <c:smooth val="0"/>
        </c:ser>
        <c:ser>
          <c:idx val="4"/>
          <c:order val="4"/>
          <c:tx>
            <c:v>#REF!</c:v>
          </c:tx>
          <c:cat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586368"/>
        <c:axId val="224588544"/>
      </c:lineChart>
      <c:catAx>
        <c:axId val="224586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Confining Pressure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224588544"/>
        <c:crosses val="autoZero"/>
        <c:auto val="1"/>
        <c:lblAlgn val="ctr"/>
        <c:lblOffset val="100"/>
        <c:noMultiLvlLbl val="0"/>
      </c:catAx>
      <c:valAx>
        <c:axId val="2245885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pt-BR" sz="1400"/>
                  <a:t>Samples' Porosity</a:t>
                </a:r>
                <a:r>
                  <a:rPr lang="pt-BR" sz="1400" baseline="0"/>
                  <a:t> estimation (%)</a:t>
                </a:r>
                <a:endParaRPr lang="pt-BR" sz="14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458636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200"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Samples' porosity estimation (%) - Ambient pressure condition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#REF!</c:v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ser>
          <c:idx val="1"/>
          <c:order val="1"/>
          <c:tx>
            <c:v>#REF!</c:v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4631424"/>
        <c:axId val="224637312"/>
      </c:barChart>
      <c:catAx>
        <c:axId val="224631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224637312"/>
        <c:crosses val="autoZero"/>
        <c:auto val="1"/>
        <c:lblAlgn val="ctr"/>
        <c:lblOffset val="100"/>
        <c:noMultiLvlLbl val="0"/>
      </c:catAx>
      <c:valAx>
        <c:axId val="2246373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463142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200"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Plots!$S$4</c:f>
              <c:strCache>
                <c:ptCount val="1"/>
                <c:pt idx="0">
                  <c:v>F2829V</c:v>
                </c:pt>
              </c:strCache>
            </c:strRef>
          </c:tx>
          <c:spPr>
            <a:ln w="19050">
              <a:noFill/>
            </a:ln>
          </c:spPr>
          <c:marker>
            <c:spPr>
              <a:ln w="25400"/>
            </c:spPr>
          </c:marker>
          <c:xVal>
            <c:numRef>
              <c:f>Plots!$S$10</c:f>
              <c:numCache>
                <c:formatCode>0.00</c:formatCode>
                <c:ptCount val="1"/>
                <c:pt idx="0">
                  <c:v>6.7233999999999998</c:v>
                </c:pt>
              </c:numCache>
            </c:numRef>
          </c:xVal>
          <c:yVal>
            <c:numRef>
              <c:f>Plots!$S$9</c:f>
              <c:numCache>
                <c:formatCode>0.00</c:formatCode>
                <c:ptCount val="1"/>
                <c:pt idx="0">
                  <c:v>0.01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Plots!$T$4</c:f>
              <c:strCache>
                <c:ptCount val="1"/>
                <c:pt idx="0">
                  <c:v>F2830H</c:v>
                </c:pt>
              </c:strCache>
            </c:strRef>
          </c:tx>
          <c:spPr>
            <a:ln w="19050">
              <a:noFill/>
            </a:ln>
          </c:spPr>
          <c:dPt>
            <c:idx val="0"/>
            <c:marker>
              <c:spPr>
                <a:ln w="25400"/>
              </c:spPr>
            </c:marker>
            <c:bubble3D val="0"/>
          </c:dPt>
          <c:xVal>
            <c:numRef>
              <c:f>Plots!$T$10</c:f>
              <c:numCache>
                <c:formatCode>0.00</c:formatCode>
                <c:ptCount val="1"/>
                <c:pt idx="0">
                  <c:v>3.7824</c:v>
                </c:pt>
              </c:numCache>
            </c:numRef>
          </c:xVal>
          <c:yVal>
            <c:numRef>
              <c:f>Plots!$T$9</c:f>
              <c:numCache>
                <c:formatCode>0.00</c:formatCode>
                <c:ptCount val="1"/>
                <c:pt idx="0">
                  <c:v>4.9000000000000004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Plots!$U$4</c:f>
              <c:strCache>
                <c:ptCount val="1"/>
                <c:pt idx="0">
                  <c:v>F2852H</c:v>
                </c:pt>
              </c:strCache>
            </c:strRef>
          </c:tx>
          <c:spPr>
            <a:ln w="19050">
              <a:noFill/>
            </a:ln>
          </c:spPr>
          <c:marker>
            <c:spPr>
              <a:ln w="25400"/>
            </c:spPr>
          </c:marker>
          <c:xVal>
            <c:numRef>
              <c:f>Plots!$U$10</c:f>
              <c:numCache>
                <c:formatCode>0.00</c:formatCode>
                <c:ptCount val="1"/>
                <c:pt idx="0">
                  <c:v>1.3284</c:v>
                </c:pt>
              </c:numCache>
            </c:numRef>
          </c:xVal>
          <c:yVal>
            <c:numRef>
              <c:f>Plots!$U$9</c:f>
              <c:numCache>
                <c:formatCode>0.00</c:formatCode>
                <c:ptCount val="1"/>
                <c:pt idx="0">
                  <c:v>2.4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Plots!$V$4</c:f>
              <c:strCache>
                <c:ptCount val="1"/>
                <c:pt idx="0">
                  <c:v>F2854H</c:v>
                </c:pt>
              </c:strCache>
            </c:strRef>
          </c:tx>
          <c:spPr>
            <a:ln w="19050">
              <a:noFill/>
            </a:ln>
          </c:spPr>
          <c:marker>
            <c:spPr>
              <a:ln w="25400"/>
            </c:spPr>
          </c:marker>
          <c:xVal>
            <c:numRef>
              <c:f>Plots!$V$10</c:f>
              <c:numCache>
                <c:formatCode>0.00</c:formatCode>
                <c:ptCount val="1"/>
                <c:pt idx="0">
                  <c:v>8.0283999999999995</c:v>
                </c:pt>
              </c:numCache>
            </c:numRef>
          </c:xVal>
          <c:yVal>
            <c:numRef>
              <c:f>Plots!$V$9</c:f>
              <c:numCache>
                <c:formatCode>0.00</c:formatCode>
                <c:ptCount val="1"/>
                <c:pt idx="0">
                  <c:v>3.1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Plots!$W$4</c:f>
              <c:strCache>
                <c:ptCount val="1"/>
                <c:pt idx="0">
                  <c:v>F2859H</c:v>
                </c:pt>
              </c:strCache>
            </c:strRef>
          </c:tx>
          <c:spPr>
            <a:ln w="19050">
              <a:noFill/>
            </a:ln>
          </c:spPr>
          <c:marker>
            <c:spPr>
              <a:ln w="25400"/>
            </c:spPr>
          </c:marker>
          <c:xVal>
            <c:numRef>
              <c:f>Plots!$W$10</c:f>
              <c:numCache>
                <c:formatCode>0.00</c:formatCode>
                <c:ptCount val="1"/>
                <c:pt idx="0">
                  <c:v>6.37</c:v>
                </c:pt>
              </c:numCache>
            </c:numRef>
          </c:xVal>
          <c:yVal>
            <c:numRef>
              <c:f>Plots!$W$9</c:f>
              <c:numCache>
                <c:formatCode>0.00</c:formatCode>
                <c:ptCount val="1"/>
                <c:pt idx="0">
                  <c:v>3.93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Plots!$X$4</c:f>
              <c:strCache>
                <c:ptCount val="1"/>
                <c:pt idx="0">
                  <c:v>F2880H</c:v>
                </c:pt>
              </c:strCache>
            </c:strRef>
          </c:tx>
          <c:spPr>
            <a:ln w="19050">
              <a:noFill/>
            </a:ln>
          </c:spPr>
          <c:marker>
            <c:spPr>
              <a:ln w="38100"/>
            </c:spPr>
          </c:marker>
          <c:xVal>
            <c:numRef>
              <c:f>Plots!$X$10</c:f>
              <c:numCache>
                <c:formatCode>0.00</c:formatCode>
                <c:ptCount val="1"/>
                <c:pt idx="0">
                  <c:v>13.7158</c:v>
                </c:pt>
              </c:numCache>
            </c:numRef>
          </c:xVal>
          <c:yVal>
            <c:numRef>
              <c:f>Plots!$X$9</c:f>
              <c:numCache>
                <c:formatCode>0.00</c:formatCode>
                <c:ptCount val="1"/>
                <c:pt idx="0">
                  <c:v>9.3000000000000007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Plots!$Y$4</c:f>
              <c:strCache>
                <c:ptCount val="1"/>
                <c:pt idx="0">
                  <c:v>F2910H</c:v>
                </c:pt>
              </c:strCache>
            </c:strRef>
          </c:tx>
          <c:spPr>
            <a:ln w="19050">
              <a:noFill/>
            </a:ln>
          </c:spPr>
          <c:marker>
            <c:spPr>
              <a:ln w="76200"/>
            </c:spPr>
          </c:marker>
          <c:xVal>
            <c:numRef>
              <c:f>Plots!$Y$10</c:f>
              <c:numCache>
                <c:formatCode>0.00</c:formatCode>
                <c:ptCount val="1"/>
                <c:pt idx="0">
                  <c:v>14.6312</c:v>
                </c:pt>
              </c:numCache>
            </c:numRef>
          </c:xVal>
          <c:yVal>
            <c:numRef>
              <c:f>Plots!$Y$9</c:f>
              <c:numCache>
                <c:formatCode>0.00</c:formatCode>
                <c:ptCount val="1"/>
                <c:pt idx="0">
                  <c:v>9.3699999999999992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Plots!$Z$4</c:f>
              <c:strCache>
                <c:ptCount val="1"/>
                <c:pt idx="0">
                  <c:v>F2911V</c:v>
                </c:pt>
              </c:strCache>
            </c:strRef>
          </c:tx>
          <c:spPr>
            <a:ln w="19050">
              <a:noFill/>
            </a:ln>
          </c:spPr>
          <c:marker>
            <c:spPr>
              <a:ln w="50800"/>
            </c:spPr>
          </c:marker>
          <c:xVal>
            <c:numRef>
              <c:f>Plots!$Z$10</c:f>
              <c:numCache>
                <c:formatCode>0.00</c:formatCode>
                <c:ptCount val="1"/>
                <c:pt idx="0">
                  <c:v>23.7334</c:v>
                </c:pt>
              </c:numCache>
            </c:numRef>
          </c:xVal>
          <c:yVal>
            <c:numRef>
              <c:f>Plots!$Z$9</c:f>
              <c:numCache>
                <c:formatCode>0.00</c:formatCode>
                <c:ptCount val="1"/>
                <c:pt idx="0">
                  <c:v>11.7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Plots!$AA$4</c:f>
              <c:strCache>
                <c:ptCount val="1"/>
                <c:pt idx="0">
                  <c:v>F2935H</c:v>
                </c:pt>
              </c:strCache>
            </c:strRef>
          </c:tx>
          <c:spPr>
            <a:ln w="19050">
              <a:noFill/>
            </a:ln>
          </c:spPr>
          <c:marker>
            <c:spPr>
              <a:ln w="50800"/>
            </c:spPr>
          </c:marker>
          <c:xVal>
            <c:numRef>
              <c:f>Plots!$AA$10</c:f>
              <c:numCache>
                <c:formatCode>0.00</c:formatCode>
                <c:ptCount val="1"/>
                <c:pt idx="0">
                  <c:v>12.8634</c:v>
                </c:pt>
              </c:numCache>
            </c:numRef>
          </c:xVal>
          <c:yVal>
            <c:numRef>
              <c:f>Plots!$AA$9</c:f>
              <c:numCache>
                <c:formatCode>0.00</c:formatCode>
                <c:ptCount val="1"/>
                <c:pt idx="0">
                  <c:v>14.11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Plots!$AB$4</c:f>
              <c:strCache>
                <c:ptCount val="1"/>
                <c:pt idx="0">
                  <c:v>F2870H(6mm)</c:v>
                </c:pt>
              </c:strCache>
            </c:strRef>
          </c:tx>
          <c:spPr>
            <a:ln w="19050">
              <a:noFill/>
            </a:ln>
          </c:spPr>
          <c:marker>
            <c:spPr>
              <a:ln w="25400"/>
            </c:spPr>
          </c:marker>
          <c:xVal>
            <c:numRef>
              <c:f>Plots!$AB$10</c:f>
              <c:numCache>
                <c:formatCode>0.00</c:formatCode>
                <c:ptCount val="1"/>
                <c:pt idx="0">
                  <c:v>4.4610000000000003</c:v>
                </c:pt>
              </c:numCache>
            </c:numRef>
          </c:xVal>
          <c:yVal>
            <c:numRef>
              <c:f>Plots!$AB$9</c:f>
              <c:numCache>
                <c:formatCode>0.00</c:formatCode>
                <c:ptCount val="1"/>
                <c:pt idx="0">
                  <c:v>0.38</c:v>
                </c:pt>
              </c:numCache>
            </c:numRef>
          </c:yVal>
          <c:smooth val="0"/>
        </c:ser>
        <c:ser>
          <c:idx val="10"/>
          <c:order val="10"/>
          <c:tx>
            <c:v>x=y</c:v>
          </c:tx>
          <c:spPr>
            <a:ln w="19050">
              <a:noFill/>
            </a:ln>
          </c:spPr>
          <c:trendline>
            <c:spPr>
              <a:ln w="25400">
                <a:solidFill>
                  <a:srgbClr val="FF0000"/>
                </a:solidFill>
                <a:prstDash val="dash"/>
              </a:ln>
            </c:spPr>
            <c:trendlineType val="linear"/>
            <c:dispRSqr val="0"/>
            <c:dispEq val="0"/>
          </c:trendline>
          <c:xVal>
            <c:numLit>
              <c:formatCode>General</c:formatCode>
              <c:ptCount val="2"/>
              <c:pt idx="0">
                <c:v>-1</c:v>
              </c:pt>
              <c:pt idx="1">
                <c:v>100</c:v>
              </c:pt>
            </c:numLit>
          </c:xVal>
          <c:yVal>
            <c:numLit>
              <c:formatCode>General</c:formatCode>
              <c:ptCount val="2"/>
              <c:pt idx="0">
                <c:v>-1</c:v>
              </c:pt>
              <c:pt idx="1">
                <c:v>100</c:v>
              </c:pt>
            </c:numLit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696192"/>
        <c:axId val="224698368"/>
      </c:scatterChart>
      <c:valAx>
        <c:axId val="224696192"/>
        <c:scaling>
          <c:orientation val="minMax"/>
          <c:max val="2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Standard sample - Lab. porosity (%)</a:t>
                </a:r>
              </a:p>
            </c:rich>
          </c:tx>
          <c:layout/>
          <c:overlay val="0"/>
        </c:title>
        <c:numFmt formatCode="0.0" sourceLinked="0"/>
        <c:majorTickMark val="out"/>
        <c:minorTickMark val="none"/>
        <c:tickLblPos val="nextTo"/>
        <c:crossAx val="224698368"/>
        <c:crosses val="autoZero"/>
        <c:crossBetween val="midCat"/>
        <c:majorUnit val="5"/>
        <c:minorUnit val="1"/>
      </c:valAx>
      <c:valAx>
        <c:axId val="224698368"/>
        <c:scaling>
          <c:orientation val="minMax"/>
          <c:max val="25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>
                    <a:latin typeface="Calibri"/>
                    <a:cs typeface="Calibri"/>
                  </a:rPr>
                  <a:t>µCT sample - </a:t>
                </a:r>
                <a:r>
                  <a:rPr lang="en-US"/>
                  <a:t>Image porosity (%)</a:t>
                </a:r>
              </a:p>
            </c:rich>
          </c:tx>
          <c:layout/>
          <c:overlay val="0"/>
        </c:title>
        <c:numFmt formatCode="0.0" sourceLinked="0"/>
        <c:majorTickMark val="out"/>
        <c:minorTickMark val="none"/>
        <c:tickLblPos val="nextTo"/>
        <c:crossAx val="224696192"/>
        <c:crosses val="autoZero"/>
        <c:crossBetween val="midCat"/>
      </c:valAx>
    </c:plotArea>
    <c:legend>
      <c:legendPos val="r"/>
      <c:legendEntry>
        <c:idx val="10"/>
        <c:delete val="1"/>
      </c:legendEntry>
      <c:layout>
        <c:manualLayout>
          <c:xMode val="edge"/>
          <c:yMode val="edge"/>
          <c:x val="0.74815467080699416"/>
          <c:y val="1.196952674509376E-2"/>
          <c:w val="0.24433359210380393"/>
          <c:h val="0.90893128507806653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1600"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10" Type="http://schemas.openxmlformats.org/officeDocument/2006/relationships/chart" Target="../charts/chart16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9525</xdr:colOff>
      <xdr:row>0</xdr:row>
      <xdr:rowOff>114300</xdr:rowOff>
    </xdr:from>
    <xdr:to>
      <xdr:col>40</xdr:col>
      <xdr:colOff>561974</xdr:colOff>
      <xdr:row>22</xdr:row>
      <xdr:rowOff>9526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9525</xdr:colOff>
      <xdr:row>22</xdr:row>
      <xdr:rowOff>57150</xdr:rowOff>
    </xdr:from>
    <xdr:to>
      <xdr:col>40</xdr:col>
      <xdr:colOff>561974</xdr:colOff>
      <xdr:row>43</xdr:row>
      <xdr:rowOff>142876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76199</xdr:colOff>
      <xdr:row>18</xdr:row>
      <xdr:rowOff>47625</xdr:rowOff>
    </xdr:from>
    <xdr:to>
      <xdr:col>19</xdr:col>
      <xdr:colOff>447674</xdr:colOff>
      <xdr:row>38</xdr:row>
      <xdr:rowOff>133350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76200</xdr:colOff>
      <xdr:row>18</xdr:row>
      <xdr:rowOff>57150</xdr:rowOff>
    </xdr:from>
    <xdr:to>
      <xdr:col>30</xdr:col>
      <xdr:colOff>31507</xdr:colOff>
      <xdr:row>38</xdr:row>
      <xdr:rowOff>142875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459353</xdr:colOff>
      <xdr:row>25</xdr:row>
      <xdr:rowOff>14949</xdr:rowOff>
    </xdr:from>
    <xdr:to>
      <xdr:col>17</xdr:col>
      <xdr:colOff>171206</xdr:colOff>
      <xdr:row>30</xdr:row>
      <xdr:rowOff>1493</xdr:rowOff>
    </xdr:to>
    <xdr:sp macro="" textlink="">
      <xdr:nvSpPr>
        <xdr:cNvPr id="5" name="Retângulo 4"/>
        <xdr:cNvSpPr/>
      </xdr:nvSpPr>
      <xdr:spPr>
        <a:xfrm rot="2865054">
          <a:off x="12099670" y="3709882"/>
          <a:ext cx="986669" cy="4493403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85725</xdr:colOff>
      <xdr:row>39</xdr:row>
      <xdr:rowOff>76200</xdr:rowOff>
    </xdr:from>
    <xdr:to>
      <xdr:col>19</xdr:col>
      <xdr:colOff>457200</xdr:colOff>
      <xdr:row>60</xdr:row>
      <xdr:rowOff>38100</xdr:rowOff>
    </xdr:to>
    <xdr:graphicFrame macro="">
      <xdr:nvGraphicFramePr>
        <xdr:cNvPr id="9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66675</xdr:colOff>
      <xdr:row>39</xdr:row>
      <xdr:rowOff>76200</xdr:rowOff>
    </xdr:from>
    <xdr:to>
      <xdr:col>30</xdr:col>
      <xdr:colOff>21982</xdr:colOff>
      <xdr:row>60</xdr:row>
      <xdr:rowOff>38100</xdr:rowOff>
    </xdr:to>
    <xdr:graphicFrame macro="">
      <xdr:nvGraphicFramePr>
        <xdr:cNvPr id="11" name="Grá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485775</xdr:colOff>
      <xdr:row>25</xdr:row>
      <xdr:rowOff>28577</xdr:rowOff>
    </xdr:from>
    <xdr:to>
      <xdr:col>27</xdr:col>
      <xdr:colOff>359553</xdr:colOff>
      <xdr:row>30</xdr:row>
      <xdr:rowOff>15121</xdr:rowOff>
    </xdr:to>
    <xdr:sp macro="" textlink="">
      <xdr:nvSpPr>
        <xdr:cNvPr id="13" name="Retângulo 12"/>
        <xdr:cNvSpPr/>
      </xdr:nvSpPr>
      <xdr:spPr>
        <a:xfrm rot="2865054">
          <a:off x="18736442" y="3723510"/>
          <a:ext cx="986669" cy="4493403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485775</xdr:colOff>
      <xdr:row>47</xdr:row>
      <xdr:rowOff>76199</xdr:rowOff>
    </xdr:from>
    <xdr:to>
      <xdr:col>17</xdr:col>
      <xdr:colOff>197628</xdr:colOff>
      <xdr:row>50</xdr:row>
      <xdr:rowOff>62743</xdr:rowOff>
    </xdr:to>
    <xdr:sp macro="" textlink="">
      <xdr:nvSpPr>
        <xdr:cNvPr id="14" name="Retângulo 13"/>
        <xdr:cNvSpPr/>
      </xdr:nvSpPr>
      <xdr:spPr>
        <a:xfrm rot="2865054">
          <a:off x="12126092" y="8466957"/>
          <a:ext cx="986669" cy="4493403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430596</xdr:colOff>
      <xdr:row>47</xdr:row>
      <xdr:rowOff>94744</xdr:rowOff>
    </xdr:from>
    <xdr:to>
      <xdr:col>27</xdr:col>
      <xdr:colOff>362545</xdr:colOff>
      <xdr:row>50</xdr:row>
      <xdr:rowOff>81288</xdr:rowOff>
    </xdr:to>
    <xdr:sp macro="" textlink="">
      <xdr:nvSpPr>
        <xdr:cNvPr id="15" name="Retângulo 14"/>
        <xdr:cNvSpPr/>
      </xdr:nvSpPr>
      <xdr:spPr>
        <a:xfrm rot="2865054">
          <a:off x="18710348" y="8456417"/>
          <a:ext cx="986669" cy="4551574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28575</xdr:rowOff>
    </xdr:from>
    <xdr:to>
      <xdr:col>9</xdr:col>
      <xdr:colOff>238124</xdr:colOff>
      <xdr:row>25</xdr:row>
      <xdr:rowOff>104775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</xdr:colOff>
      <xdr:row>25</xdr:row>
      <xdr:rowOff>190499</xdr:rowOff>
    </xdr:from>
    <xdr:to>
      <xdr:col>9</xdr:col>
      <xdr:colOff>85725</xdr:colOff>
      <xdr:row>52</xdr:row>
      <xdr:rowOff>9524</xdr:rowOff>
    </xdr:to>
    <xdr:graphicFrame macro="">
      <xdr:nvGraphicFramePr>
        <xdr:cNvPr id="10" name="Grá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60</xdr:row>
      <xdr:rowOff>47624</xdr:rowOff>
    </xdr:from>
    <xdr:to>
      <xdr:col>10</xdr:col>
      <xdr:colOff>552451</xdr:colOff>
      <xdr:row>99</xdr:row>
      <xdr:rowOff>0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</xdr:col>
      <xdr:colOff>581025</xdr:colOff>
      <xdr:row>86</xdr:row>
      <xdr:rowOff>144157</xdr:rowOff>
    </xdr:from>
    <xdr:ext cx="1295399" cy="937757"/>
    <xdr:sp macro="" textlink="">
      <xdr:nvSpPr>
        <xdr:cNvPr id="13" name="CaixaDeTexto 12"/>
        <xdr:cNvSpPr txBox="1"/>
      </xdr:nvSpPr>
      <xdr:spPr>
        <a:xfrm>
          <a:off x="1504950" y="16765282"/>
          <a:ext cx="1295399" cy="937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1800">
              <a:solidFill>
                <a:srgbClr val="FF0000"/>
              </a:solidFill>
            </a:rPr>
            <a:t>Limited by the </a:t>
          </a:r>
        </a:p>
        <a:p>
          <a:pPr algn="ctr"/>
          <a:r>
            <a:rPr lang="pt-BR" sz="1800">
              <a:solidFill>
                <a:srgbClr val="FF0000"/>
              </a:solidFill>
            </a:rPr>
            <a:t>resolution</a:t>
          </a:r>
          <a:r>
            <a:rPr lang="pt-BR" sz="1800" baseline="0">
              <a:solidFill>
                <a:srgbClr val="FF0000"/>
              </a:solidFill>
            </a:rPr>
            <a:t> </a:t>
          </a:r>
          <a:endParaRPr lang="pt-BR" sz="1800">
            <a:solidFill>
              <a:srgbClr val="FF0000"/>
            </a:solidFill>
          </a:endParaRPr>
        </a:p>
      </xdr:txBody>
    </xdr:sp>
    <xdr:clientData/>
  </xdr:oneCellAnchor>
  <xdr:twoCellAnchor>
    <xdr:from>
      <xdr:col>11</xdr:col>
      <xdr:colOff>9524</xdr:colOff>
      <xdr:row>19</xdr:row>
      <xdr:rowOff>171450</xdr:rowOff>
    </xdr:from>
    <xdr:to>
      <xdr:col>19</xdr:col>
      <xdr:colOff>70551</xdr:colOff>
      <xdr:row>37</xdr:row>
      <xdr:rowOff>162450</xdr:rowOff>
    </xdr:to>
    <xdr:graphicFrame macro="">
      <xdr:nvGraphicFramePr>
        <xdr:cNvPr id="4" name="Gráfico 3"/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9525</xdr:colOff>
      <xdr:row>38</xdr:row>
      <xdr:rowOff>19050</xdr:rowOff>
    </xdr:from>
    <xdr:to>
      <xdr:col>19</xdr:col>
      <xdr:colOff>0</xdr:colOff>
      <xdr:row>65</xdr:row>
      <xdr:rowOff>0</xdr:rowOff>
    </xdr:to>
    <xdr:graphicFrame macro="">
      <xdr:nvGraphicFramePr>
        <xdr:cNvPr id="9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1</xdr:colOff>
      <xdr:row>17</xdr:row>
      <xdr:rowOff>28574</xdr:rowOff>
    </xdr:from>
    <xdr:to>
      <xdr:col>38</xdr:col>
      <xdr:colOff>476250</xdr:colOff>
      <xdr:row>42</xdr:row>
      <xdr:rowOff>180975</xdr:rowOff>
    </xdr:to>
    <xdr:graphicFrame macro="">
      <xdr:nvGraphicFramePr>
        <xdr:cNvPr id="11" name="Grá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38</xdr:col>
      <xdr:colOff>704849</xdr:colOff>
      <xdr:row>17</xdr:row>
      <xdr:rowOff>19050</xdr:rowOff>
    </xdr:from>
    <xdr:to>
      <xdr:col>49</xdr:col>
      <xdr:colOff>190499</xdr:colOff>
      <xdr:row>42</xdr:row>
      <xdr:rowOff>171451</xdr:rowOff>
    </xdr:to>
    <xdr:graphicFrame macro="">
      <xdr:nvGraphicFramePr>
        <xdr:cNvPr id="14" name="Gráfico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30</xdr:col>
      <xdr:colOff>0</xdr:colOff>
      <xdr:row>43</xdr:row>
      <xdr:rowOff>66675</xdr:rowOff>
    </xdr:from>
    <xdr:to>
      <xdr:col>38</xdr:col>
      <xdr:colOff>476249</xdr:colOff>
      <xdr:row>69</xdr:row>
      <xdr:rowOff>28576</xdr:rowOff>
    </xdr:to>
    <xdr:graphicFrame macro="">
      <xdr:nvGraphicFramePr>
        <xdr:cNvPr id="16" name="Gráfico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38</xdr:col>
      <xdr:colOff>733425</xdr:colOff>
      <xdr:row>43</xdr:row>
      <xdr:rowOff>142875</xdr:rowOff>
    </xdr:from>
    <xdr:to>
      <xdr:col>49</xdr:col>
      <xdr:colOff>200025</xdr:colOff>
      <xdr:row>63</xdr:row>
      <xdr:rowOff>161925</xdr:rowOff>
    </xdr:to>
    <xdr:graphicFrame macro="">
      <xdr:nvGraphicFramePr>
        <xdr:cNvPr id="17" name="Gráfico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114300</xdr:colOff>
      <xdr:row>21</xdr:row>
      <xdr:rowOff>180974</xdr:rowOff>
    </xdr:from>
    <xdr:to>
      <xdr:col>29</xdr:col>
      <xdr:colOff>238125</xdr:colOff>
      <xdr:row>47</xdr:row>
      <xdr:rowOff>104775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8"/>
  <sheetViews>
    <sheetView workbookViewId="0">
      <selection activeCell="K14" sqref="K14"/>
    </sheetView>
  </sheetViews>
  <sheetFormatPr defaultRowHeight="15" x14ac:dyDescent="0.25"/>
  <cols>
    <col min="1" max="1" width="28.28515625" bestFit="1" customWidth="1"/>
    <col min="2" max="2" width="7.85546875" bestFit="1" customWidth="1"/>
    <col min="3" max="8" width="8" bestFit="1" customWidth="1"/>
    <col min="9" max="9" width="7.85546875" bestFit="1" customWidth="1"/>
    <col min="10" max="10" width="8" bestFit="1" customWidth="1"/>
    <col min="11" max="11" width="14.42578125" bestFit="1" customWidth="1"/>
  </cols>
  <sheetData>
    <row r="4" spans="1:11" ht="15.75" x14ac:dyDescent="0.25">
      <c r="B4" s="106" t="s">
        <v>101</v>
      </c>
      <c r="C4" s="106" t="s">
        <v>103</v>
      </c>
      <c r="D4" s="106" t="s">
        <v>105</v>
      </c>
      <c r="E4" s="106" t="s">
        <v>107</v>
      </c>
      <c r="F4" s="106" t="s">
        <v>109</v>
      </c>
      <c r="G4" s="106" t="s">
        <v>112</v>
      </c>
      <c r="H4" s="106" t="s">
        <v>113</v>
      </c>
      <c r="I4" s="106" t="s">
        <v>115</v>
      </c>
      <c r="J4" s="106" t="s">
        <v>117</v>
      </c>
      <c r="K4" s="106" t="s">
        <v>123</v>
      </c>
    </row>
    <row r="5" spans="1:11" x14ac:dyDescent="0.25">
      <c r="A5" s="52" t="s">
        <v>203</v>
      </c>
      <c r="B5" s="10">
        <f>F2829V!$C$20</f>
        <v>0.35507795174143025</v>
      </c>
      <c r="C5" s="10">
        <f>F2830H!$C$20</f>
        <v>0.57890018737152282</v>
      </c>
      <c r="D5" s="10">
        <f>F2852H!$C$20</f>
        <v>0.69727901878015841</v>
      </c>
      <c r="E5" s="10">
        <f>F2854H!$C$20</f>
        <v>0.9799136133925791</v>
      </c>
      <c r="F5" s="10">
        <f>F2859H!$C$20</f>
        <v>0.97550207686143231</v>
      </c>
      <c r="G5" s="10">
        <f>F2880H!$C$20</f>
        <v>0.90417018872271038</v>
      </c>
      <c r="H5" s="10">
        <f>F2910H!$C$20</f>
        <v>0.93176597711205844</v>
      </c>
      <c r="I5" s="10">
        <f>F2911V!$C$20</f>
        <v>0.92698341925951777</v>
      </c>
      <c r="J5" s="10">
        <f>F2935H!$C$20</f>
        <v>0.92834407902135285</v>
      </c>
      <c r="K5" s="10">
        <f>F2870H!$C$20</f>
        <v>0.99463572927701838</v>
      </c>
    </row>
    <row r="6" spans="1:11" x14ac:dyDescent="0.25">
      <c r="A6" s="52" t="s">
        <v>204</v>
      </c>
      <c r="B6" s="10">
        <f>F2829V!$B$48</f>
        <v>0.67775199868112546</v>
      </c>
      <c r="C6" s="10">
        <f>F2830H!$B$48</f>
        <v>0.55193586873998102</v>
      </c>
      <c r="D6" s="10">
        <f>F2852H!$B$48</f>
        <v>0.58180850619684188</v>
      </c>
      <c r="E6" s="10">
        <f>F2854H!$B$48</f>
        <v>0.53778410817397537</v>
      </c>
      <c r="F6" s="10">
        <f>F2859H!$B$48</f>
        <v>0.53727092978402957</v>
      </c>
      <c r="G6" s="10">
        <f>F2880H!$B$48</f>
        <v>0.5602939833086511</v>
      </c>
      <c r="H6" s="10">
        <f>F2910H!$B$48</f>
        <v>0.56924220638226519</v>
      </c>
      <c r="I6" s="10">
        <f>F2911V!$B$48</f>
        <v>0.54715048503363972</v>
      </c>
      <c r="J6" s="10">
        <f>F2935H!$B$48</f>
        <v>0.55726414932335011</v>
      </c>
      <c r="K6" s="10">
        <f>F2870H!$B$48</f>
        <v>0.55125386883377991</v>
      </c>
    </row>
    <row r="7" spans="1:11" x14ac:dyDescent="0.25">
      <c r="A7" s="52" t="s">
        <v>205</v>
      </c>
      <c r="B7" s="10">
        <f>F2829V!$C$19</f>
        <v>0.64492204825856991</v>
      </c>
      <c r="C7" s="10">
        <f>F2830H!$C$19</f>
        <v>0.42109981262844903</v>
      </c>
      <c r="D7" s="10">
        <f>F2852H!$C$19</f>
        <v>0.30272098121981372</v>
      </c>
      <c r="E7" s="10">
        <f>F2854H!$C$19</f>
        <v>2.0086386607418686E-2</v>
      </c>
      <c r="F7" s="10">
        <f>F2859H!$C$19</f>
        <v>2.4497923138565556E-2</v>
      </c>
      <c r="G7" s="10">
        <f>F2880H!$C$19</f>
        <v>9.5829811277286833E-2</v>
      </c>
      <c r="H7" s="10">
        <f>F2910H!$C$19</f>
        <v>6.8234022887938922E-2</v>
      </c>
      <c r="I7" s="10">
        <f>F2911V!$C$19</f>
        <v>7.3016580740458123E-2</v>
      </c>
      <c r="J7" s="10">
        <f>F2935H!$C$19</f>
        <v>7.165592097863932E-2</v>
      </c>
      <c r="K7" s="10">
        <f>F2870H!$C$19</f>
        <v>5.3642707229834569E-3</v>
      </c>
    </row>
    <row r="8" spans="1:11" x14ac:dyDescent="0.25">
      <c r="A8" s="95" t="s">
        <v>206</v>
      </c>
      <c r="B8" s="95" t="s">
        <v>207</v>
      </c>
      <c r="C8" s="95" t="s">
        <v>207</v>
      </c>
      <c r="D8" s="95" t="s">
        <v>207</v>
      </c>
      <c r="E8" s="95" t="s">
        <v>207</v>
      </c>
      <c r="F8" s="95" t="s">
        <v>207</v>
      </c>
      <c r="G8" s="95" t="s">
        <v>207</v>
      </c>
      <c r="H8" s="95" t="s">
        <v>207</v>
      </c>
      <c r="I8" s="95" t="s">
        <v>207</v>
      </c>
      <c r="J8" s="95" t="s">
        <v>207</v>
      </c>
      <c r="K8" s="95" t="s">
        <v>207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25"/>
  <sheetViews>
    <sheetView zoomScaleNormal="100" workbookViewId="0">
      <selection activeCell="Q19" sqref="Q19:Y19"/>
    </sheetView>
  </sheetViews>
  <sheetFormatPr defaultRowHeight="15" x14ac:dyDescent="0.25"/>
  <cols>
    <col min="1" max="1" width="9.140625" style="43"/>
    <col min="2" max="2" width="41.5703125" style="43" customWidth="1"/>
    <col min="3" max="8" width="9.140625" style="43"/>
    <col min="9" max="9" width="27.42578125" style="43" bestFit="1" customWidth="1"/>
    <col min="10" max="10" width="9.5703125" style="43" bestFit="1" customWidth="1"/>
    <col min="11" max="15" width="9.140625" style="43"/>
    <col min="16" max="16" width="35.7109375" style="43" bestFit="1" customWidth="1"/>
    <col min="17" max="25" width="13.7109375" style="43" bestFit="1" customWidth="1"/>
    <col min="26" max="26" width="16.5703125" style="43" bestFit="1" customWidth="1"/>
    <col min="27" max="16384" width="9.140625" style="43"/>
  </cols>
  <sheetData>
    <row r="1" spans="2:26" x14ac:dyDescent="0.25">
      <c r="B1" s="44" t="s">
        <v>124</v>
      </c>
    </row>
    <row r="2" spans="2:26" x14ac:dyDescent="0.25">
      <c r="B2" s="45" t="s">
        <v>125</v>
      </c>
      <c r="C2" s="45" t="s">
        <v>126</v>
      </c>
      <c r="D2" s="45" t="s">
        <v>127</v>
      </c>
      <c r="E2" s="45" t="s">
        <v>128</v>
      </c>
      <c r="I2" s="44" t="s">
        <v>129</v>
      </c>
      <c r="P2" s="50"/>
    </row>
    <row r="3" spans="2:26" x14ac:dyDescent="0.25">
      <c r="B3" s="46" t="s">
        <v>130</v>
      </c>
      <c r="C3" s="46">
        <v>2</v>
      </c>
      <c r="D3" s="46">
        <v>2</v>
      </c>
      <c r="E3" s="46">
        <v>2</v>
      </c>
      <c r="I3" s="50" t="s">
        <v>131</v>
      </c>
      <c r="P3" s="45" t="s">
        <v>132</v>
      </c>
      <c r="Q3" s="45"/>
      <c r="R3" s="45"/>
      <c r="S3" s="45"/>
      <c r="T3" s="45"/>
      <c r="U3" s="45"/>
      <c r="V3" s="45"/>
      <c r="W3" s="45"/>
      <c r="X3" s="45"/>
      <c r="Y3" s="45"/>
      <c r="Z3" s="55" t="s">
        <v>133</v>
      </c>
    </row>
    <row r="4" spans="2:26" x14ac:dyDescent="0.25">
      <c r="B4" s="47" t="s">
        <v>134</v>
      </c>
      <c r="C4" s="47">
        <f>(C3)^2</f>
        <v>4</v>
      </c>
      <c r="D4" s="47">
        <f>(D3)^2</f>
        <v>4</v>
      </c>
      <c r="E4" s="47">
        <f>(E3)^2</f>
        <v>4</v>
      </c>
      <c r="I4" s="47" t="s">
        <v>135</v>
      </c>
      <c r="J4" s="47">
        <v>500</v>
      </c>
      <c r="P4" s="52" t="s">
        <v>95</v>
      </c>
      <c r="Q4" s="52"/>
      <c r="R4" s="52"/>
      <c r="S4" s="52"/>
      <c r="T4" s="52"/>
      <c r="U4" s="52"/>
      <c r="V4" s="52"/>
      <c r="W4" s="52"/>
      <c r="X4" s="52"/>
      <c r="Y4" s="52"/>
      <c r="Z4" s="52">
        <f>MIN(Q4:U4)</f>
        <v>0</v>
      </c>
    </row>
    <row r="5" spans="2:26" x14ac:dyDescent="0.25">
      <c r="B5" s="47" t="s">
        <v>136</v>
      </c>
      <c r="C5" s="48">
        <f>2*SQRT(C4/PI())</f>
        <v>2.2567583341910251</v>
      </c>
      <c r="D5" s="48">
        <f t="shared" ref="D5:E5" si="0">2*SQRT(D4/PI())</f>
        <v>2.2567583341910251</v>
      </c>
      <c r="E5" s="48">
        <f t="shared" si="0"/>
        <v>2.2567583341910251</v>
      </c>
      <c r="I5" s="47" t="s">
        <v>137</v>
      </c>
      <c r="J5" s="48">
        <f>2*SQRT(J4/PI())</f>
        <v>25.231325220201601</v>
      </c>
      <c r="P5" s="52" t="s">
        <v>96</v>
      </c>
      <c r="Q5" s="52"/>
      <c r="R5" s="52"/>
      <c r="S5" s="52"/>
      <c r="T5" s="52"/>
      <c r="U5" s="52"/>
      <c r="V5" s="52"/>
      <c r="W5" s="52"/>
      <c r="X5" s="52"/>
      <c r="Y5" s="52"/>
      <c r="Z5" s="52">
        <f>MAX(Q5:U5)</f>
        <v>0</v>
      </c>
    </row>
    <row r="6" spans="2:26" x14ac:dyDescent="0.25">
      <c r="B6" s="47" t="s">
        <v>138</v>
      </c>
      <c r="C6" s="48">
        <f>SQRT(C4/PI())</f>
        <v>1.1283791670955126</v>
      </c>
      <c r="D6" s="48">
        <f t="shared" ref="D6:E6" si="1">SQRT(D4/PI())</f>
        <v>1.1283791670955126</v>
      </c>
      <c r="E6" s="48">
        <f t="shared" si="1"/>
        <v>1.1283791670955126</v>
      </c>
      <c r="I6" s="47" t="s">
        <v>139</v>
      </c>
      <c r="J6" s="48">
        <f>SQRT(J4/PI())</f>
        <v>12.6156626101008</v>
      </c>
      <c r="P6" s="52" t="s">
        <v>97</v>
      </c>
      <c r="Q6" s="52"/>
      <c r="R6" s="52"/>
      <c r="S6" s="52"/>
      <c r="T6" s="52"/>
      <c r="U6" s="52"/>
      <c r="V6" s="52"/>
      <c r="W6" s="52"/>
      <c r="X6" s="52"/>
      <c r="Y6" s="52"/>
      <c r="Z6" s="52">
        <f>MAX(Q6:U6)</f>
        <v>0</v>
      </c>
    </row>
    <row r="7" spans="2:26" x14ac:dyDescent="0.25">
      <c r="B7" s="49" t="s">
        <v>140</v>
      </c>
      <c r="C7" s="49">
        <v>12.14</v>
      </c>
      <c r="D7" s="49">
        <v>3.33</v>
      </c>
      <c r="E7" s="49">
        <v>1.27</v>
      </c>
      <c r="P7" s="52" t="s">
        <v>98</v>
      </c>
      <c r="Q7" s="52"/>
      <c r="R7" s="52"/>
      <c r="S7" s="52"/>
      <c r="T7" s="52"/>
      <c r="U7" s="52"/>
      <c r="V7" s="52"/>
      <c r="W7" s="52"/>
      <c r="X7" s="52"/>
      <c r="Y7" s="52"/>
      <c r="Z7" s="52">
        <f>MIN(Q7:U7)</f>
        <v>0</v>
      </c>
    </row>
    <row r="8" spans="2:26" x14ac:dyDescent="0.25">
      <c r="B8" s="47" t="s">
        <v>135</v>
      </c>
      <c r="C8" s="48">
        <f>(C3*C7)^2</f>
        <v>589.51840000000004</v>
      </c>
      <c r="D8" s="48">
        <f>(D3*D7)^2</f>
        <v>44.355600000000003</v>
      </c>
      <c r="E8" s="48">
        <f>(E3*E7)^2</f>
        <v>6.4516</v>
      </c>
      <c r="P8" s="52" t="s">
        <v>99</v>
      </c>
      <c r="Q8" s="52"/>
      <c r="R8" s="52"/>
      <c r="S8" s="52"/>
      <c r="T8" s="52"/>
      <c r="U8" s="52"/>
      <c r="V8" s="52"/>
      <c r="W8" s="52"/>
      <c r="X8" s="52"/>
      <c r="Y8" s="52"/>
      <c r="Z8" s="52">
        <f>MAX(Q8:U8)</f>
        <v>0</v>
      </c>
    </row>
    <row r="9" spans="2:26" x14ac:dyDescent="0.25">
      <c r="B9" s="47" t="s">
        <v>137</v>
      </c>
      <c r="C9" s="48">
        <f>2*SQRT(C8/PI())</f>
        <v>27.397046177079048</v>
      </c>
      <c r="D9" s="48">
        <f>2*SQRT(D8/PI())</f>
        <v>7.5150052528561142</v>
      </c>
      <c r="E9" s="48">
        <f t="shared" ref="E9" si="2">2*SQRT(E8/PI())</f>
        <v>2.866083084422602</v>
      </c>
      <c r="P9" s="52" t="s">
        <v>100</v>
      </c>
      <c r="Q9" s="52"/>
      <c r="R9" s="52"/>
      <c r="S9" s="52"/>
      <c r="T9" s="52"/>
      <c r="U9" s="52"/>
      <c r="V9" s="52"/>
      <c r="W9" s="52"/>
      <c r="X9" s="52"/>
      <c r="Y9" s="52"/>
      <c r="Z9" s="52">
        <f>MAX(Q9:U9)</f>
        <v>0</v>
      </c>
    </row>
    <row r="10" spans="2:26" x14ac:dyDescent="0.25">
      <c r="B10" s="47" t="s">
        <v>139</v>
      </c>
      <c r="C10" s="48">
        <f>SQRT(C8/PI())</f>
        <v>13.698523088539524</v>
      </c>
      <c r="D10" s="48">
        <f t="shared" ref="D10:E10" si="3">SQRT(D8/PI())</f>
        <v>3.7575026264280571</v>
      </c>
      <c r="E10" s="48">
        <f t="shared" si="3"/>
        <v>1.433041542211301</v>
      </c>
    </row>
    <row r="11" spans="2:26" x14ac:dyDescent="0.25">
      <c r="P11" s="45" t="s">
        <v>141</v>
      </c>
      <c r="Q11" s="45" t="str">
        <f>F2870H!A1</f>
        <v>F2870H(6mm)</v>
      </c>
      <c r="R11" s="45"/>
      <c r="S11" s="45"/>
      <c r="T11" s="45"/>
      <c r="U11" s="45"/>
      <c r="V11" s="45"/>
      <c r="W11" s="45"/>
      <c r="X11" s="45"/>
      <c r="Y11" s="45"/>
      <c r="Z11" s="55" t="s">
        <v>133</v>
      </c>
    </row>
    <row r="12" spans="2:26" x14ac:dyDescent="0.25">
      <c r="P12" s="52" t="s">
        <v>95</v>
      </c>
      <c r="Q12" s="53">
        <f>F2870H!$B$6</f>
        <v>177.5305855</v>
      </c>
      <c r="R12" s="53"/>
      <c r="S12" s="53"/>
      <c r="T12" s="53"/>
      <c r="U12" s="53"/>
      <c r="V12" s="53"/>
      <c r="W12" s="53"/>
      <c r="X12" s="53"/>
      <c r="Y12" s="53"/>
      <c r="Z12" s="52">
        <f>MIN(Q12:U12)</f>
        <v>177.5305855</v>
      </c>
    </row>
    <row r="13" spans="2:26" x14ac:dyDescent="0.25">
      <c r="B13" s="54" t="s">
        <v>142</v>
      </c>
      <c r="C13" s="43" t="s">
        <v>143</v>
      </c>
      <c r="P13" s="52" t="s">
        <v>96</v>
      </c>
      <c r="Q13" s="51">
        <f>F2870H!$B$7</f>
        <v>188673.66829999999</v>
      </c>
      <c r="R13" s="51"/>
      <c r="S13" s="51"/>
      <c r="T13" s="51"/>
      <c r="U13" s="51"/>
      <c r="V13" s="51"/>
      <c r="W13" s="51"/>
      <c r="X13" s="51"/>
      <c r="Y13" s="51"/>
      <c r="Z13" s="52">
        <f>MAX(Q13:U13)</f>
        <v>188673.66829999999</v>
      </c>
    </row>
    <row r="14" spans="2:26" x14ac:dyDescent="0.25">
      <c r="B14" s="43">
        <v>2.5</v>
      </c>
      <c r="C14" s="43">
        <f>B14*1000</f>
        <v>2500</v>
      </c>
      <c r="P14" s="95" t="s">
        <v>97</v>
      </c>
      <c r="Q14" s="39">
        <f>Q13*0.000001</f>
        <v>0.18867366829999999</v>
      </c>
      <c r="R14" s="53"/>
      <c r="S14" s="53"/>
      <c r="T14" s="53"/>
      <c r="U14" s="53"/>
      <c r="V14" s="53"/>
      <c r="W14" s="53"/>
      <c r="X14" s="53"/>
      <c r="Y14" s="53"/>
      <c r="Z14" s="52">
        <f>MAX(Q14:U14)</f>
        <v>0.18867366829999999</v>
      </c>
    </row>
    <row r="15" spans="2:26" x14ac:dyDescent="0.25">
      <c r="B15" s="43">
        <v>6</v>
      </c>
      <c r="C15" s="43">
        <f t="shared" ref="C15:C16" si="4">B15*1000</f>
        <v>6000</v>
      </c>
      <c r="P15" s="52" t="s">
        <v>98</v>
      </c>
      <c r="Q15" s="53">
        <f>F2870H!$B$9</f>
        <v>15.03459217466796</v>
      </c>
      <c r="R15" s="53"/>
      <c r="S15" s="53"/>
      <c r="T15" s="53"/>
      <c r="U15" s="53"/>
      <c r="V15" s="53"/>
      <c r="W15" s="53"/>
      <c r="X15" s="53"/>
      <c r="Y15" s="53"/>
      <c r="Z15" s="52">
        <f>MIN(Q15:U15)</f>
        <v>15.03459217466796</v>
      </c>
    </row>
    <row r="16" spans="2:26" x14ac:dyDescent="0.25">
      <c r="B16" s="43">
        <v>38</v>
      </c>
      <c r="C16" s="43">
        <f t="shared" si="4"/>
        <v>38000</v>
      </c>
      <c r="P16" s="52" t="s">
        <v>99</v>
      </c>
      <c r="Q16" s="53">
        <f>F2870H!$B$10</f>
        <v>490.12934571376678</v>
      </c>
      <c r="R16" s="53"/>
      <c r="S16" s="53"/>
      <c r="T16" s="53"/>
      <c r="U16" s="53"/>
      <c r="V16" s="53"/>
      <c r="W16" s="53"/>
      <c r="X16" s="53"/>
      <c r="Y16" s="53"/>
      <c r="Z16" s="52">
        <f>MAX(Q16:U16)</f>
        <v>490.12934571376678</v>
      </c>
    </row>
    <row r="17" spans="16:26" x14ac:dyDescent="0.25">
      <c r="P17" s="95" t="s">
        <v>100</v>
      </c>
      <c r="Q17" s="36">
        <f>Q16*0.001</f>
        <v>0.49012934571376682</v>
      </c>
      <c r="R17" s="53"/>
      <c r="S17" s="53"/>
      <c r="T17" s="53"/>
      <c r="U17" s="53"/>
      <c r="V17" s="53"/>
      <c r="W17" s="53"/>
      <c r="X17" s="53"/>
      <c r="Y17" s="53"/>
      <c r="Z17" s="52">
        <f>MAX(Q17:U17)</f>
        <v>0.49012934571376682</v>
      </c>
    </row>
    <row r="19" spans="16:26" x14ac:dyDescent="0.25">
      <c r="P19" s="45" t="s">
        <v>94</v>
      </c>
      <c r="Q19" s="45" t="str">
        <f>F2829V!A1</f>
        <v>F2829V</v>
      </c>
      <c r="R19" s="45" t="str">
        <f>F2830H!A1</f>
        <v>F2830H</v>
      </c>
      <c r="S19" s="45" t="str">
        <f>F2852H!A1</f>
        <v>F2852H</v>
      </c>
      <c r="T19" s="45" t="str">
        <f>F2854H!A1</f>
        <v>F2854H</v>
      </c>
      <c r="U19" s="45" t="str">
        <f>F2859H!A1</f>
        <v>F2859H</v>
      </c>
      <c r="V19" s="45" t="str">
        <f>F2880H!A1</f>
        <v>F2880H</v>
      </c>
      <c r="W19" s="101" t="str">
        <f>F2910H!A1</f>
        <v>F2910H</v>
      </c>
      <c r="X19" s="45" t="str">
        <f>F2911V!A1</f>
        <v>F2911V</v>
      </c>
      <c r="Y19" s="45" t="str">
        <f>F2935H!A1</f>
        <v>F2935H</v>
      </c>
      <c r="Z19" s="55" t="s">
        <v>133</v>
      </c>
    </row>
    <row r="20" spans="16:26" x14ac:dyDescent="0.25">
      <c r="P20" s="52" t="s">
        <v>95</v>
      </c>
      <c r="Q20" s="53">
        <f>F2829V!$B$6</f>
        <v>28.617085830000001</v>
      </c>
      <c r="R20" s="53">
        <f>F2830H!$B$6</f>
        <v>22.97866225000001</v>
      </c>
      <c r="S20" s="53">
        <f>F2852H!$B$6</f>
        <v>25.82213577000001</v>
      </c>
      <c r="T20" s="53">
        <f>F2854H!$B$6</f>
        <v>28.617085830000001</v>
      </c>
      <c r="U20" s="53">
        <f>F2859H!$B$6</f>
        <v>25.82213577000001</v>
      </c>
      <c r="V20" s="53">
        <f>F2880H!$B$6</f>
        <v>25.82213577000001</v>
      </c>
      <c r="W20" s="102">
        <f>F2910H!$B$6</f>
        <v>25.82213577000001</v>
      </c>
      <c r="X20" s="53">
        <f>F2911V!$B$6</f>
        <v>25.82213577000001</v>
      </c>
      <c r="Y20" s="53">
        <f>F2935H!$B$6</f>
        <v>25.82213577000001</v>
      </c>
      <c r="Z20" s="53">
        <f>MIN(Q20:Y20)</f>
        <v>22.97866225000001</v>
      </c>
    </row>
    <row r="21" spans="16:26" x14ac:dyDescent="0.25">
      <c r="P21" s="52" t="s">
        <v>96</v>
      </c>
      <c r="Q21" s="51">
        <f>F2829V!$B$7</f>
        <v>2726.1216680000011</v>
      </c>
      <c r="R21" s="51">
        <f>F2830H!$B$7</f>
        <v>21535.904210000001</v>
      </c>
      <c r="S21" s="51">
        <f>F2852H!$B$7</f>
        <v>47268.675349999998</v>
      </c>
      <c r="T21" s="51">
        <f>F2854H!$B$7</f>
        <v>342081.70260000002</v>
      </c>
      <c r="U21" s="51">
        <f>F2859H!$B$7</f>
        <v>173392.68220000001</v>
      </c>
      <c r="V21" s="51">
        <f>F2880H!$B$7</f>
        <v>280403.43339999998</v>
      </c>
      <c r="W21" s="103">
        <f>F2910H!$B$7</f>
        <v>2982101.2519999999</v>
      </c>
      <c r="X21" s="51">
        <f>F2911V!$B$7</f>
        <v>705065.96960000007</v>
      </c>
      <c r="Y21" s="51">
        <f>F2935H!$B$7</f>
        <v>1052435.0330000001</v>
      </c>
      <c r="Z21" s="52">
        <f>MAX(Q21:Y21)</f>
        <v>2982101.2519999999</v>
      </c>
    </row>
    <row r="22" spans="16:26" x14ac:dyDescent="0.25">
      <c r="P22" s="95" t="s">
        <v>97</v>
      </c>
      <c r="Q22" s="39">
        <f>Q21*0.000001</f>
        <v>2.726121668000001E-3</v>
      </c>
      <c r="R22" s="39">
        <f t="shared" ref="R22:Y22" si="5">R21*0.000001</f>
        <v>2.1535904209999998E-2</v>
      </c>
      <c r="S22" s="39">
        <f t="shared" si="5"/>
        <v>4.7268675349999997E-2</v>
      </c>
      <c r="T22" s="39">
        <f t="shared" si="5"/>
        <v>0.34208170259999998</v>
      </c>
      <c r="U22" s="39">
        <f t="shared" si="5"/>
        <v>0.17339268220000001</v>
      </c>
      <c r="V22" s="39">
        <f t="shared" si="5"/>
        <v>0.28040343339999996</v>
      </c>
      <c r="W22" s="104">
        <f t="shared" si="5"/>
        <v>2.9821012519999996</v>
      </c>
      <c r="X22" s="39">
        <f t="shared" si="5"/>
        <v>0.70506596960000001</v>
      </c>
      <c r="Y22" s="39">
        <f t="shared" si="5"/>
        <v>1.0524350330000001</v>
      </c>
      <c r="Z22" s="53">
        <f>MAX(Q22:Y22)</f>
        <v>2.9821012519999996</v>
      </c>
    </row>
    <row r="23" spans="16:26" x14ac:dyDescent="0.25">
      <c r="P23" s="52" t="s">
        <v>98</v>
      </c>
      <c r="Q23" s="53">
        <f>F2829V!$B$9</f>
        <v>6.0362575602633362</v>
      </c>
      <c r="R23" s="53">
        <f>F2830H!$B$9</f>
        <v>5.4090055889981361</v>
      </c>
      <c r="S23" s="53">
        <f>F2852H!$B$9</f>
        <v>5.7339135319504404</v>
      </c>
      <c r="T23" s="53">
        <f>F2854H!$B$9</f>
        <v>6.0362575602633362</v>
      </c>
      <c r="U23" s="53">
        <f>F2859H!$B$9</f>
        <v>5.7339135319504404</v>
      </c>
      <c r="V23" s="53">
        <f>F2880H!$B$9</f>
        <v>5.7339135319504404</v>
      </c>
      <c r="W23" s="102">
        <f>F2910H!$B$9</f>
        <v>5.7339135319504404</v>
      </c>
      <c r="X23" s="53">
        <f>F2911V!$B$9</f>
        <v>5.7339135319504404</v>
      </c>
      <c r="Y23" s="53">
        <f>F2935H!$B$9</f>
        <v>5.7339135319504404</v>
      </c>
      <c r="Z23" s="53">
        <f>MIN(Q23:Y23)</f>
        <v>5.4090055889981361</v>
      </c>
    </row>
    <row r="24" spans="16:26" x14ac:dyDescent="0.25">
      <c r="P24" s="52" t="s">
        <v>99</v>
      </c>
      <c r="Q24" s="53">
        <f>F2829V!$B$10</f>
        <v>58.915243455806781</v>
      </c>
      <c r="R24" s="53">
        <f>F2830H!$B$10</f>
        <v>165.59095649159249</v>
      </c>
      <c r="S24" s="53">
        <f>F2852H!$B$10</f>
        <v>245.3249817749269</v>
      </c>
      <c r="T24" s="53">
        <f>F2854H!$B$10</f>
        <v>659.96359845119741</v>
      </c>
      <c r="U24" s="53">
        <f>F2859H!$B$10</f>
        <v>469.86212844273462</v>
      </c>
      <c r="V24" s="53">
        <f>F2880H!$B$10</f>
        <v>597.51212530323812</v>
      </c>
      <c r="W24" s="102">
        <f>F2910H!$B$10</f>
        <v>1948.5710765714041</v>
      </c>
      <c r="X24" s="53">
        <f>F2911V!$B$10</f>
        <v>947.47974867105211</v>
      </c>
      <c r="Y24" s="53">
        <f>F2829V!$B$10</f>
        <v>58.915243455806781</v>
      </c>
      <c r="Z24" s="53">
        <f>MAX(Q24:Y24)</f>
        <v>1948.5710765714041</v>
      </c>
    </row>
    <row r="25" spans="16:26" x14ac:dyDescent="0.25">
      <c r="P25" s="95" t="s">
        <v>100</v>
      </c>
      <c r="Q25" s="36">
        <f>Q24*0.001</f>
        <v>5.891524345580678E-2</v>
      </c>
      <c r="R25" s="36">
        <f t="shared" ref="R25:Y25" si="6">R24*0.001</f>
        <v>0.1655909564915925</v>
      </c>
      <c r="S25" s="36">
        <f t="shared" si="6"/>
        <v>0.2453249817749269</v>
      </c>
      <c r="T25" s="36">
        <f t="shared" si="6"/>
        <v>0.65996359845119745</v>
      </c>
      <c r="U25" s="36">
        <f t="shared" si="6"/>
        <v>0.46986212844273462</v>
      </c>
      <c r="V25" s="36">
        <f t="shared" si="6"/>
        <v>0.59751212530323816</v>
      </c>
      <c r="W25" s="105">
        <f t="shared" si="6"/>
        <v>1.9485710765714042</v>
      </c>
      <c r="X25" s="36">
        <f t="shared" si="6"/>
        <v>0.94747974867105211</v>
      </c>
      <c r="Y25" s="36">
        <f t="shared" si="6"/>
        <v>5.891524345580678E-2</v>
      </c>
      <c r="Z25" s="53">
        <f>MAX(Q25:Y25)</f>
        <v>1.9485710765714042</v>
      </c>
    </row>
  </sheetData>
  <pageMargins left="0.25" right="0.25" top="0.75" bottom="0.75" header="0.3" footer="0.3"/>
  <pageSetup paperSize="9" orientation="landscape" r:id="rId1"/>
  <ignoredErrors>
    <ignoredError sqref="Z23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48"/>
  <sheetViews>
    <sheetView zoomScale="85" zoomScaleNormal="85" workbookViewId="0">
      <selection activeCell="D3" sqref="D3:M3"/>
    </sheetView>
  </sheetViews>
  <sheetFormatPr defaultRowHeight="15" x14ac:dyDescent="0.25"/>
  <cols>
    <col min="1" max="1" width="26.42578125" style="43" bestFit="1" customWidth="1"/>
    <col min="2" max="2" width="23.28515625" style="43" bestFit="1" customWidth="1"/>
    <col min="3" max="3" width="19" style="43" customWidth="1"/>
    <col min="4" max="6" width="9.28515625" style="43" customWidth="1"/>
    <col min="7" max="8" width="10.5703125" style="43" customWidth="1"/>
    <col min="9" max="9" width="9.28515625" style="43" customWidth="1"/>
    <col min="10" max="10" width="12" style="43" bestFit="1" customWidth="1"/>
    <col min="11" max="12" width="9.28515625" style="43" customWidth="1"/>
    <col min="13" max="13" width="14.42578125" style="43" customWidth="1"/>
    <col min="14" max="14" width="16.5703125" style="43" customWidth="1"/>
    <col min="15" max="15" width="9.42578125" style="43" customWidth="1"/>
    <col min="16" max="16" width="11.28515625" style="43" customWidth="1"/>
    <col min="17" max="17" width="10.7109375" style="43" customWidth="1"/>
    <col min="18" max="25" width="9.140625" style="43"/>
    <col min="26" max="26" width="14.42578125" style="43" bestFit="1" customWidth="1"/>
    <col min="27" max="16384" width="9.140625" style="43"/>
  </cols>
  <sheetData>
    <row r="1" spans="2:26" x14ac:dyDescent="0.25">
      <c r="P1" s="98" t="s">
        <v>175</v>
      </c>
      <c r="Q1" s="93"/>
    </row>
    <row r="2" spans="2:26" ht="18.75" x14ac:dyDescent="0.3">
      <c r="C2" s="56" t="s">
        <v>173</v>
      </c>
      <c r="P2" s="56" t="s">
        <v>173</v>
      </c>
    </row>
    <row r="3" spans="2:26" ht="15.75" x14ac:dyDescent="0.25">
      <c r="B3" s="93" t="s">
        <v>174</v>
      </c>
      <c r="C3" s="57" t="s">
        <v>145</v>
      </c>
      <c r="D3" s="58" t="s">
        <v>101</v>
      </c>
      <c r="E3" s="58" t="s">
        <v>103</v>
      </c>
      <c r="F3" s="58" t="s">
        <v>105</v>
      </c>
      <c r="G3" s="58" t="s">
        <v>107</v>
      </c>
      <c r="H3" s="58" t="s">
        <v>109</v>
      </c>
      <c r="I3" s="58" t="s">
        <v>112</v>
      </c>
      <c r="J3" s="58" t="s">
        <v>113</v>
      </c>
      <c r="K3" s="58" t="s">
        <v>115</v>
      </c>
      <c r="L3" s="58" t="s">
        <v>117</v>
      </c>
      <c r="M3" s="58" t="s">
        <v>123</v>
      </c>
      <c r="O3" s="93" t="s">
        <v>174</v>
      </c>
      <c r="P3" s="57" t="s">
        <v>145</v>
      </c>
      <c r="Q3" s="58" t="s">
        <v>101</v>
      </c>
      <c r="R3" s="58" t="s">
        <v>103</v>
      </c>
      <c r="S3" s="58" t="s">
        <v>105</v>
      </c>
      <c r="T3" s="58" t="s">
        <v>107</v>
      </c>
      <c r="U3" s="58" t="s">
        <v>109</v>
      </c>
      <c r="V3" s="58" t="s">
        <v>112</v>
      </c>
      <c r="W3" s="58" t="s">
        <v>113</v>
      </c>
      <c r="X3" s="58" t="s">
        <v>115</v>
      </c>
      <c r="Y3" s="58" t="s">
        <v>117</v>
      </c>
      <c r="Z3" s="58" t="s">
        <v>123</v>
      </c>
    </row>
    <row r="4" spans="2:26" ht="15.75" x14ac:dyDescent="0.25">
      <c r="B4" s="93" t="s">
        <v>177</v>
      </c>
      <c r="C4" s="59" t="s">
        <v>146</v>
      </c>
      <c r="D4" s="40">
        <v>0.01</v>
      </c>
      <c r="E4" s="40">
        <v>4.9000000000000004</v>
      </c>
      <c r="F4" s="40">
        <v>2.4</v>
      </c>
      <c r="G4" s="40">
        <v>3.1</v>
      </c>
      <c r="H4" s="40">
        <v>3.93</v>
      </c>
      <c r="I4" s="40">
        <v>9.3000000000000007</v>
      </c>
      <c r="J4" s="40">
        <v>9.3699999999999992</v>
      </c>
      <c r="K4" s="40">
        <v>11.7</v>
      </c>
      <c r="L4" s="40">
        <v>14.11</v>
      </c>
      <c r="M4" s="40">
        <v>0.38</v>
      </c>
      <c r="O4" s="93" t="s">
        <v>82</v>
      </c>
      <c r="P4" s="59" t="s">
        <v>146</v>
      </c>
      <c r="Q4" s="40">
        <f>(D12/SUM(D12:D14))*100</f>
        <v>1.2732365673542146E-2</v>
      </c>
      <c r="R4" s="40">
        <f>(E12/SUM(E12:E14))*100</f>
        <v>6.3332040842703901</v>
      </c>
      <c r="S4" s="40">
        <f>(F12/SUM(F12:F14))*100</f>
        <v>3.0557677616501149</v>
      </c>
      <c r="T4" s="40">
        <f>(G12/SUM(G12:G14))*100</f>
        <v>3.9470333587980653</v>
      </c>
      <c r="U4" s="40">
        <f>(H12/SUM(H12:H14))*100</f>
        <v>5.0038197097020625</v>
      </c>
      <c r="V4" s="40">
        <f t="shared" ref="V4:Z4" si="0">(I12/SUM(I12:I14))*100</f>
        <v>11.841100076394197</v>
      </c>
      <c r="W4" s="40">
        <f t="shared" si="0"/>
        <v>11.975971370143148</v>
      </c>
      <c r="X4" s="40">
        <f t="shared" si="0"/>
        <v>14.896867838044308</v>
      </c>
      <c r="Y4" s="40">
        <f t="shared" si="0"/>
        <v>17.965367965367964</v>
      </c>
      <c r="Z4" s="40">
        <f t="shared" si="0"/>
        <v>0.483768300445576</v>
      </c>
    </row>
    <row r="5" spans="2:26" ht="15.75" x14ac:dyDescent="0.25">
      <c r="C5" s="60" t="s">
        <v>147</v>
      </c>
      <c r="D5" s="61">
        <v>38.840000000000003</v>
      </c>
      <c r="E5" s="61">
        <v>68.36</v>
      </c>
      <c r="F5" s="61">
        <v>13.83</v>
      </c>
      <c r="G5" s="61">
        <v>73.66</v>
      </c>
      <c r="H5" s="61">
        <v>21.03</v>
      </c>
      <c r="I5" s="61">
        <v>23.32</v>
      </c>
      <c r="J5" s="61">
        <v>10.67</v>
      </c>
      <c r="K5" s="61">
        <v>63.57</v>
      </c>
      <c r="L5" s="61">
        <v>58.77</v>
      </c>
      <c r="M5" s="61">
        <v>74.89</v>
      </c>
      <c r="P5" s="60" t="s">
        <v>147</v>
      </c>
      <c r="Q5" s="40">
        <f>(D13/SUM(D12:D14))*100</f>
        <v>49.45250827603769</v>
      </c>
      <c r="R5" s="40">
        <f>(E13/SUM(E12:E14))*100</f>
        <v>88.354659428719145</v>
      </c>
      <c r="S5" s="40">
        <f>(F13/SUM(F12:F14))*100</f>
        <v>17.608861726508785</v>
      </c>
      <c r="T5" s="40">
        <f>(G13/SUM(G12:G14))*100</f>
        <v>93.786605551311439</v>
      </c>
      <c r="U5" s="40">
        <f>(H13/SUM(H12:H14))*100</f>
        <v>26.776165011459131</v>
      </c>
      <c r="V5" s="40">
        <f t="shared" ref="V5:Z5" si="1">(I13/SUM(I12:I14))*100</f>
        <v>29.691876750700281</v>
      </c>
      <c r="W5" s="40">
        <f t="shared" si="1"/>
        <v>13.637525562372188</v>
      </c>
      <c r="X5" s="40">
        <f t="shared" si="1"/>
        <v>80.93964858670742</v>
      </c>
      <c r="Y5" s="40">
        <f t="shared" si="1"/>
        <v>74.828113063407173</v>
      </c>
      <c r="Z5" s="40">
        <f t="shared" si="1"/>
        <v>95.340547422024187</v>
      </c>
    </row>
    <row r="6" spans="2:26" ht="15.75" x14ac:dyDescent="0.25">
      <c r="C6" s="62" t="s">
        <v>148</v>
      </c>
      <c r="D6" s="61">
        <v>39.69</v>
      </c>
      <c r="E6" s="61">
        <v>4.1100000000000003</v>
      </c>
      <c r="F6" s="61">
        <v>62.31</v>
      </c>
      <c r="G6" s="61">
        <v>1.78</v>
      </c>
      <c r="H6" s="61">
        <v>53.58</v>
      </c>
      <c r="I6" s="61">
        <v>45.92</v>
      </c>
      <c r="J6" s="61">
        <v>58.2</v>
      </c>
      <c r="K6" s="61">
        <v>3.27</v>
      </c>
      <c r="L6" s="61">
        <v>5.66</v>
      </c>
      <c r="M6" s="61">
        <v>3.28</v>
      </c>
      <c r="P6" s="62" t="s">
        <v>148</v>
      </c>
      <c r="Q6" s="63">
        <f>(D14/SUM(D12:D14))*100</f>
        <v>50.53475935828876</v>
      </c>
      <c r="R6" s="63">
        <f>(E14/SUM(E12:E14))*100</f>
        <v>5.3121364870104699</v>
      </c>
      <c r="S6" s="63">
        <f>(F14/SUM(F12:F14))*100</f>
        <v>79.335370511841106</v>
      </c>
      <c r="T6" s="63">
        <f>(G14/SUM(G12:G14))*100</f>
        <v>2.2663610898905024</v>
      </c>
      <c r="U6" s="63">
        <f>(H14/SUM(H12:H14))*100</f>
        <v>68.220015278838801</v>
      </c>
      <c r="V6" s="63">
        <f t="shared" ref="V6:Z6" si="2">(I14/SUM(I12:I14))*100</f>
        <v>58.467023172905527</v>
      </c>
      <c r="W6" s="63">
        <f t="shared" si="2"/>
        <v>74.386503067484668</v>
      </c>
      <c r="X6" s="63">
        <f t="shared" si="2"/>
        <v>4.1634835752482813</v>
      </c>
      <c r="Y6" s="63">
        <f t="shared" si="2"/>
        <v>7.2065189712248543</v>
      </c>
      <c r="Z6" s="63">
        <f t="shared" si="2"/>
        <v>4.1756842775302356</v>
      </c>
    </row>
    <row r="7" spans="2:26" ht="15.75" x14ac:dyDescent="0.25">
      <c r="C7" s="99" t="s">
        <v>164</v>
      </c>
      <c r="D7" s="61">
        <f>100-SUM(D4:D6)</f>
        <v>21.460000000000008</v>
      </c>
      <c r="E7" s="61">
        <f t="shared" ref="E7:M7" si="3">100-SUM(E4:E6)</f>
        <v>22.629999999999995</v>
      </c>
      <c r="F7" s="61">
        <f t="shared" si="3"/>
        <v>21.459999999999994</v>
      </c>
      <c r="G7" s="61">
        <f t="shared" si="3"/>
        <v>21.460000000000008</v>
      </c>
      <c r="H7" s="61">
        <f t="shared" si="3"/>
        <v>21.460000000000008</v>
      </c>
      <c r="I7" s="61">
        <f t="shared" si="3"/>
        <v>21.459999999999994</v>
      </c>
      <c r="J7" s="61">
        <f t="shared" si="3"/>
        <v>21.759999999999991</v>
      </c>
      <c r="K7" s="61">
        <f t="shared" si="3"/>
        <v>21.460000000000008</v>
      </c>
      <c r="L7" s="61">
        <f t="shared" si="3"/>
        <v>21.460000000000008</v>
      </c>
      <c r="M7" s="61">
        <f t="shared" si="3"/>
        <v>21.450000000000003</v>
      </c>
      <c r="P7" s="52" t="s">
        <v>176</v>
      </c>
      <c r="Q7" s="53">
        <f>SUM(Q4:Q6)</f>
        <v>100</v>
      </c>
      <c r="R7" s="53">
        <f t="shared" ref="R7:Z7" si="4">SUM(R4:R6)</f>
        <v>100</v>
      </c>
      <c r="S7" s="53">
        <f t="shared" si="4"/>
        <v>100</v>
      </c>
      <c r="T7" s="53">
        <f t="shared" si="4"/>
        <v>100.00000000000001</v>
      </c>
      <c r="U7" s="53">
        <f t="shared" si="4"/>
        <v>100</v>
      </c>
      <c r="V7" s="53">
        <f t="shared" si="4"/>
        <v>100</v>
      </c>
      <c r="W7" s="53">
        <f t="shared" si="4"/>
        <v>100</v>
      </c>
      <c r="X7" s="53">
        <f t="shared" si="4"/>
        <v>100</v>
      </c>
      <c r="Y7" s="53">
        <f t="shared" si="4"/>
        <v>99.999999999999986</v>
      </c>
      <c r="Z7" s="53">
        <f t="shared" si="4"/>
        <v>100</v>
      </c>
    </row>
    <row r="8" spans="2:26" ht="15.75" x14ac:dyDescent="0.25">
      <c r="C8" s="64" t="s">
        <v>165</v>
      </c>
      <c r="D8" s="61">
        <v>2.2174200000000002</v>
      </c>
      <c r="E8" s="61">
        <v>2.20472</v>
      </c>
      <c r="F8" s="61">
        <v>2.18059</v>
      </c>
      <c r="G8" s="42">
        <v>2.3215599999999998</v>
      </c>
      <c r="H8" s="61">
        <v>2.2656800000000001</v>
      </c>
      <c r="I8" s="61">
        <v>2.2098</v>
      </c>
      <c r="J8" s="61">
        <v>1.87706</v>
      </c>
      <c r="K8" s="61">
        <v>2.2415500000000002</v>
      </c>
      <c r="L8" s="61">
        <v>2.2186900000000001</v>
      </c>
      <c r="M8" s="61">
        <v>4.7352600000000002</v>
      </c>
    </row>
    <row r="9" spans="2:26" ht="15.75" x14ac:dyDescent="0.25">
      <c r="C9" s="64" t="s">
        <v>166</v>
      </c>
      <c r="D9" s="42">
        <v>1.9735799999999999</v>
      </c>
      <c r="E9" s="42">
        <v>2.20472</v>
      </c>
      <c r="F9" s="42">
        <v>2.18059</v>
      </c>
      <c r="G9" s="42">
        <v>2.3215599999999998</v>
      </c>
      <c r="H9" s="42">
        <v>2.2656800000000001</v>
      </c>
      <c r="I9" s="61">
        <v>2.2098</v>
      </c>
      <c r="J9" s="61">
        <v>1.87706</v>
      </c>
      <c r="K9" s="61">
        <v>2.2415500000000002</v>
      </c>
      <c r="L9" s="61">
        <v>2.2186900000000001</v>
      </c>
      <c r="M9" s="61">
        <v>4.7352600000000002</v>
      </c>
    </row>
    <row r="10" spans="2:26" ht="15.75" x14ac:dyDescent="0.25">
      <c r="C10" s="64" t="s">
        <v>167</v>
      </c>
      <c r="D10" s="61">
        <v>1.49098</v>
      </c>
      <c r="E10" s="61">
        <v>2.4079199999999998</v>
      </c>
      <c r="F10" s="61">
        <v>2.40157</v>
      </c>
      <c r="G10" s="61">
        <v>2.5628600000000001</v>
      </c>
      <c r="H10" s="61">
        <v>2.5755599999999998</v>
      </c>
      <c r="I10" s="61">
        <v>2.5755599999999998</v>
      </c>
      <c r="J10" s="61">
        <v>2.5844499999999999</v>
      </c>
      <c r="K10" s="61">
        <v>2.5844499999999999</v>
      </c>
      <c r="L10" s="61">
        <v>2.41554</v>
      </c>
      <c r="M10" s="61">
        <v>6.6466799999999999</v>
      </c>
    </row>
    <row r="11" spans="2:26" ht="15.75" x14ac:dyDescent="0.25">
      <c r="C11" s="41" t="s">
        <v>168</v>
      </c>
      <c r="D11" s="52">
        <f>PRODUCT(D8:D10)</f>
        <v>6.5249098184123273</v>
      </c>
      <c r="E11" s="52">
        <f>PRODUCT(E8:E10)</f>
        <v>11.704394127164926</v>
      </c>
      <c r="F11" s="52">
        <f>PRODUCT(F8:F10)</f>
        <v>11.419399902654517</v>
      </c>
      <c r="G11" s="52">
        <f t="shared" ref="G11:M11" si="5">PRODUCT(G8:G10)</f>
        <v>13.812894906800096</v>
      </c>
      <c r="H11" s="52">
        <f t="shared" si="5"/>
        <v>13.221137246962945</v>
      </c>
      <c r="I11" s="52">
        <f t="shared" si="5"/>
        <v>12.577015903982399</v>
      </c>
      <c r="J11" s="52">
        <f t="shared" si="5"/>
        <v>9.1059328748720194</v>
      </c>
      <c r="K11" s="52">
        <f t="shared" si="5"/>
        <v>12.985688949941126</v>
      </c>
      <c r="L11" s="52">
        <f t="shared" si="5"/>
        <v>11.890701734452195</v>
      </c>
      <c r="M11" s="52">
        <f t="shared" si="5"/>
        <v>149.03642700781157</v>
      </c>
    </row>
    <row r="12" spans="2:26" ht="15.75" x14ac:dyDescent="0.25">
      <c r="C12" s="59" t="s">
        <v>169</v>
      </c>
      <c r="D12" s="52">
        <f>D$11*(D4/100)</f>
        <v>6.5249098184123281E-4</v>
      </c>
      <c r="E12" s="52">
        <f t="shared" ref="E12:L12" si="6">E$11*(E4/100)</f>
        <v>0.57351531223108143</v>
      </c>
      <c r="F12" s="52">
        <f t="shared" si="6"/>
        <v>0.27406559766370842</v>
      </c>
      <c r="G12" s="52">
        <f t="shared" si="6"/>
        <v>0.42819974211080297</v>
      </c>
      <c r="H12" s="52">
        <f t="shared" si="6"/>
        <v>0.51959069380564371</v>
      </c>
      <c r="I12" s="52">
        <f t="shared" si="6"/>
        <v>1.1696624790703634</v>
      </c>
      <c r="J12" s="52">
        <f t="shared" si="6"/>
        <v>0.8532259103755081</v>
      </c>
      <c r="K12" s="52">
        <f t="shared" si="6"/>
        <v>1.5193256071431116</v>
      </c>
      <c r="L12" s="52">
        <f t="shared" si="6"/>
        <v>1.6777780147312047</v>
      </c>
      <c r="M12" s="52">
        <f t="shared" ref="M12" si="7">M$11*(M4/100)</f>
        <v>0.56633842262968392</v>
      </c>
    </row>
    <row r="13" spans="2:26" ht="15.75" x14ac:dyDescent="0.25">
      <c r="C13" s="60" t="s">
        <v>170</v>
      </c>
      <c r="D13" s="52">
        <f t="shared" ref="D13:L15" si="8">D$11*(D5/100)</f>
        <v>2.5342749734713479</v>
      </c>
      <c r="E13" s="52">
        <f t="shared" si="8"/>
        <v>8.0011238253299428</v>
      </c>
      <c r="F13" s="52">
        <f t="shared" si="8"/>
        <v>1.5793030065371196</v>
      </c>
      <c r="G13" s="52">
        <f t="shared" si="8"/>
        <v>10.17457838834895</v>
      </c>
      <c r="H13" s="52">
        <f t="shared" si="8"/>
        <v>2.7804051630363076</v>
      </c>
      <c r="I13" s="52">
        <f t="shared" si="8"/>
        <v>2.9329601088086954</v>
      </c>
      <c r="J13" s="52">
        <f t="shared" si="8"/>
        <v>0.97160303774884449</v>
      </c>
      <c r="K13" s="52">
        <f t="shared" si="8"/>
        <v>8.255002465477574</v>
      </c>
      <c r="L13" s="52">
        <f t="shared" si="8"/>
        <v>6.9881654093375554</v>
      </c>
      <c r="M13" s="52">
        <f t="shared" ref="M13" si="9">M$11*(M5/100)</f>
        <v>111.61338018615008</v>
      </c>
    </row>
    <row r="14" spans="2:26" ht="15.75" x14ac:dyDescent="0.25">
      <c r="C14" s="62" t="s">
        <v>172</v>
      </c>
      <c r="D14" s="52">
        <f t="shared" si="8"/>
        <v>2.5897367069278525</v>
      </c>
      <c r="E14" s="52">
        <f t="shared" si="8"/>
        <v>0.48105059862647853</v>
      </c>
      <c r="F14" s="52">
        <f t="shared" si="8"/>
        <v>7.1154280793440297</v>
      </c>
      <c r="G14" s="52">
        <f t="shared" si="8"/>
        <v>0.24586952934104173</v>
      </c>
      <c r="H14" s="52">
        <f t="shared" si="8"/>
        <v>7.0838853369227452</v>
      </c>
      <c r="I14" s="52">
        <f t="shared" si="8"/>
        <v>5.7753657031087178</v>
      </c>
      <c r="J14" s="52">
        <f t="shared" si="8"/>
        <v>5.2996529331755156</v>
      </c>
      <c r="K14" s="52">
        <f t="shared" si="8"/>
        <v>0.42463202866307481</v>
      </c>
      <c r="L14" s="52">
        <f t="shared" si="8"/>
        <v>0.67301371816999433</v>
      </c>
      <c r="M14" s="52">
        <f t="shared" ref="M14" si="10">M$11*(M6/100)</f>
        <v>4.888394805856219</v>
      </c>
    </row>
    <row r="15" spans="2:26" ht="15.75" x14ac:dyDescent="0.25">
      <c r="C15" s="65" t="s">
        <v>171</v>
      </c>
      <c r="D15" s="52">
        <f t="shared" si="8"/>
        <v>1.4002456470312858</v>
      </c>
      <c r="E15" s="52">
        <f t="shared" si="8"/>
        <v>2.6487043909774224</v>
      </c>
      <c r="F15" s="52">
        <f t="shared" si="8"/>
        <v>2.4506032191096585</v>
      </c>
      <c r="G15" s="52">
        <f t="shared" si="8"/>
        <v>2.9642472469993018</v>
      </c>
      <c r="H15" s="52">
        <f t="shared" si="8"/>
        <v>2.8372560531982489</v>
      </c>
      <c r="I15" s="52">
        <f t="shared" si="8"/>
        <v>2.6990276129946222</v>
      </c>
      <c r="J15" s="52">
        <f t="shared" si="8"/>
        <v>1.9814509935721505</v>
      </c>
      <c r="K15" s="52">
        <f t="shared" si="8"/>
        <v>2.7867288486573667</v>
      </c>
      <c r="L15" s="52">
        <f t="shared" si="8"/>
        <v>2.5517445922134421</v>
      </c>
      <c r="M15" s="52">
        <f t="shared" ref="M15" si="11">M$11*(M7/100)</f>
        <v>31.968313593175584</v>
      </c>
    </row>
    <row r="16" spans="2:26" x14ac:dyDescent="0.25">
      <c r="D16" s="92"/>
      <c r="E16" s="92"/>
      <c r="F16" s="92"/>
      <c r="G16" s="92"/>
      <c r="H16" s="92"/>
      <c r="I16" s="92"/>
      <c r="J16" s="92"/>
      <c r="K16" s="92"/>
      <c r="L16" s="92"/>
      <c r="M16" s="92"/>
    </row>
    <row r="18" spans="1:10" ht="18.75" x14ac:dyDescent="0.3">
      <c r="C18" s="56" t="s">
        <v>149</v>
      </c>
      <c r="G18" s="97" t="s">
        <v>197</v>
      </c>
      <c r="I18" s="97" t="s">
        <v>198</v>
      </c>
    </row>
    <row r="19" spans="1:10" ht="15.75" x14ac:dyDescent="0.25">
      <c r="C19" s="68"/>
      <c r="D19" s="83" t="s">
        <v>150</v>
      </c>
      <c r="E19" s="84"/>
      <c r="F19" s="85"/>
      <c r="G19" s="86" t="s">
        <v>151</v>
      </c>
      <c r="H19" s="87"/>
      <c r="I19" s="86" t="s">
        <v>151</v>
      </c>
      <c r="J19" s="87"/>
    </row>
    <row r="20" spans="1:10" ht="47.25" x14ac:dyDescent="0.25">
      <c r="A20" s="45" t="s">
        <v>189</v>
      </c>
      <c r="B20" s="45" t="s">
        <v>188</v>
      </c>
      <c r="C20" s="81" t="s">
        <v>70</v>
      </c>
      <c r="D20" s="61" t="s">
        <v>152</v>
      </c>
      <c r="E20" s="61" t="s">
        <v>153</v>
      </c>
      <c r="F20" s="61" t="s">
        <v>154</v>
      </c>
      <c r="G20" s="88" t="s">
        <v>155</v>
      </c>
      <c r="H20" s="89" t="s">
        <v>156</v>
      </c>
      <c r="I20" s="88" t="s">
        <v>199</v>
      </c>
      <c r="J20" s="89" t="s">
        <v>200</v>
      </c>
    </row>
    <row r="21" spans="1:10" ht="15.75" x14ac:dyDescent="0.25">
      <c r="A21" s="52" t="s">
        <v>190</v>
      </c>
      <c r="B21" s="45" t="s">
        <v>182</v>
      </c>
      <c r="C21" s="58" t="s">
        <v>101</v>
      </c>
      <c r="D21" s="72">
        <v>78</v>
      </c>
      <c r="E21" s="73">
        <v>13</v>
      </c>
      <c r="F21" s="74">
        <f>100-(D21+E21)</f>
        <v>9</v>
      </c>
      <c r="G21" s="75">
        <f t="shared" ref="G21:G27" si="12">F21</f>
        <v>9</v>
      </c>
      <c r="H21" s="76">
        <f t="shared" ref="H21:H27" si="13">100-G21</f>
        <v>91</v>
      </c>
      <c r="I21" s="75">
        <f>F21+D21</f>
        <v>87</v>
      </c>
      <c r="J21" s="76">
        <f>E21</f>
        <v>13</v>
      </c>
    </row>
    <row r="22" spans="1:10" ht="15.75" x14ac:dyDescent="0.25">
      <c r="A22" s="52" t="s">
        <v>190</v>
      </c>
      <c r="B22" s="45" t="s">
        <v>182</v>
      </c>
      <c r="C22" s="58" t="s">
        <v>103</v>
      </c>
      <c r="D22" s="72">
        <v>24</v>
      </c>
      <c r="E22" s="73">
        <v>6</v>
      </c>
      <c r="F22" s="74">
        <f t="shared" ref="F22:F30" si="14">100-(D22+E22)</f>
        <v>70</v>
      </c>
      <c r="G22" s="75">
        <f t="shared" si="12"/>
        <v>70</v>
      </c>
      <c r="H22" s="76">
        <f t="shared" si="13"/>
        <v>30</v>
      </c>
      <c r="I22" s="75">
        <f t="shared" ref="I22:I30" si="15">F22+D22</f>
        <v>94</v>
      </c>
      <c r="J22" s="76">
        <f t="shared" ref="J22:J30" si="16">E22</f>
        <v>6</v>
      </c>
    </row>
    <row r="23" spans="1:10" ht="15.75" x14ac:dyDescent="0.25">
      <c r="A23" s="52" t="s">
        <v>194</v>
      </c>
      <c r="B23" s="45" t="s">
        <v>182</v>
      </c>
      <c r="C23" s="58" t="s">
        <v>105</v>
      </c>
      <c r="D23" s="72">
        <v>32</v>
      </c>
      <c r="E23" s="73">
        <v>43</v>
      </c>
      <c r="F23" s="74">
        <f t="shared" si="14"/>
        <v>25</v>
      </c>
      <c r="G23" s="75">
        <f t="shared" si="12"/>
        <v>25</v>
      </c>
      <c r="H23" s="76">
        <f t="shared" si="13"/>
        <v>75</v>
      </c>
      <c r="I23" s="75">
        <f t="shared" si="15"/>
        <v>57</v>
      </c>
      <c r="J23" s="76">
        <f t="shared" si="16"/>
        <v>43</v>
      </c>
    </row>
    <row r="24" spans="1:10" ht="15.75" x14ac:dyDescent="0.25">
      <c r="A24" s="52" t="s">
        <v>191</v>
      </c>
      <c r="B24" s="55" t="s">
        <v>183</v>
      </c>
      <c r="C24" s="58" t="s">
        <v>107</v>
      </c>
      <c r="D24" s="72">
        <v>69</v>
      </c>
      <c r="E24" s="73">
        <v>25</v>
      </c>
      <c r="F24" s="74">
        <f t="shared" si="14"/>
        <v>6</v>
      </c>
      <c r="G24" s="75">
        <f t="shared" si="12"/>
        <v>6</v>
      </c>
      <c r="H24" s="76">
        <f t="shared" si="13"/>
        <v>94</v>
      </c>
      <c r="I24" s="75">
        <f t="shared" si="15"/>
        <v>75</v>
      </c>
      <c r="J24" s="76">
        <f t="shared" si="16"/>
        <v>25</v>
      </c>
    </row>
    <row r="25" spans="1:10" ht="15.75" x14ac:dyDescent="0.25">
      <c r="A25" s="52" t="s">
        <v>192</v>
      </c>
      <c r="B25" s="55" t="s">
        <v>184</v>
      </c>
      <c r="C25" s="58" t="s">
        <v>109</v>
      </c>
      <c r="D25" s="72">
        <v>62</v>
      </c>
      <c r="E25" s="73">
        <v>20</v>
      </c>
      <c r="F25" s="74">
        <f t="shared" si="14"/>
        <v>18</v>
      </c>
      <c r="G25" s="75">
        <f t="shared" si="12"/>
        <v>18</v>
      </c>
      <c r="H25" s="76">
        <f t="shared" si="13"/>
        <v>82</v>
      </c>
      <c r="I25" s="75">
        <f t="shared" si="15"/>
        <v>80</v>
      </c>
      <c r="J25" s="76">
        <f t="shared" si="16"/>
        <v>20</v>
      </c>
    </row>
    <row r="26" spans="1:10" ht="15.75" x14ac:dyDescent="0.25">
      <c r="A26" s="52" t="s">
        <v>193</v>
      </c>
      <c r="B26" s="55" t="s">
        <v>185</v>
      </c>
      <c r="C26" s="58" t="s">
        <v>112</v>
      </c>
      <c r="D26" s="72">
        <v>29</v>
      </c>
      <c r="E26" s="73">
        <v>54</v>
      </c>
      <c r="F26" s="74">
        <f t="shared" si="14"/>
        <v>17</v>
      </c>
      <c r="G26" s="75">
        <f t="shared" si="12"/>
        <v>17</v>
      </c>
      <c r="H26" s="76">
        <f t="shared" si="13"/>
        <v>83</v>
      </c>
      <c r="I26" s="75">
        <f t="shared" si="15"/>
        <v>46</v>
      </c>
      <c r="J26" s="76">
        <f t="shared" si="16"/>
        <v>54</v>
      </c>
    </row>
    <row r="27" spans="1:10" ht="15.75" x14ac:dyDescent="0.25">
      <c r="A27" s="52" t="s">
        <v>195</v>
      </c>
      <c r="B27" s="45" t="s">
        <v>186</v>
      </c>
      <c r="C27" s="58" t="s">
        <v>113</v>
      </c>
      <c r="D27" s="72">
        <v>60</v>
      </c>
      <c r="E27" s="73">
        <v>33</v>
      </c>
      <c r="F27" s="74">
        <f t="shared" si="14"/>
        <v>7</v>
      </c>
      <c r="G27" s="75">
        <f t="shared" si="12"/>
        <v>7</v>
      </c>
      <c r="H27" s="76">
        <f t="shared" si="13"/>
        <v>93</v>
      </c>
      <c r="I27" s="75">
        <f t="shared" si="15"/>
        <v>67</v>
      </c>
      <c r="J27" s="76">
        <f t="shared" si="16"/>
        <v>33</v>
      </c>
    </row>
    <row r="28" spans="1:10" ht="15.75" x14ac:dyDescent="0.25">
      <c r="A28" s="52" t="s">
        <v>195</v>
      </c>
      <c r="B28" s="45" t="s">
        <v>186</v>
      </c>
      <c r="C28" s="58" t="s">
        <v>115</v>
      </c>
      <c r="D28" s="72">
        <v>54</v>
      </c>
      <c r="E28" s="73">
        <v>34</v>
      </c>
      <c r="F28" s="74">
        <f t="shared" si="14"/>
        <v>12</v>
      </c>
      <c r="G28" s="75">
        <f>F28</f>
        <v>12</v>
      </c>
      <c r="H28" s="76">
        <f>100-G28</f>
        <v>88</v>
      </c>
      <c r="I28" s="75">
        <f t="shared" si="15"/>
        <v>66</v>
      </c>
      <c r="J28" s="76">
        <f t="shared" si="16"/>
        <v>34</v>
      </c>
    </row>
    <row r="29" spans="1:10" ht="15.75" x14ac:dyDescent="0.25">
      <c r="A29" s="52" t="s">
        <v>193</v>
      </c>
      <c r="B29" s="55" t="s">
        <v>183</v>
      </c>
      <c r="C29" s="58" t="s">
        <v>117</v>
      </c>
      <c r="D29" s="72">
        <v>51</v>
      </c>
      <c r="E29" s="73">
        <v>40</v>
      </c>
      <c r="F29" s="74">
        <f t="shared" si="14"/>
        <v>9</v>
      </c>
      <c r="G29" s="75">
        <f t="shared" ref="G29:G31" si="17">F29</f>
        <v>9</v>
      </c>
      <c r="H29" s="76">
        <f t="shared" ref="H29:H30" si="18">100-G29</f>
        <v>91</v>
      </c>
      <c r="I29" s="75">
        <f t="shared" si="15"/>
        <v>60</v>
      </c>
      <c r="J29" s="76">
        <f t="shared" si="16"/>
        <v>40</v>
      </c>
    </row>
    <row r="30" spans="1:10" ht="15.75" x14ac:dyDescent="0.25">
      <c r="A30" s="52" t="s">
        <v>196</v>
      </c>
      <c r="B30" s="55" t="s">
        <v>187</v>
      </c>
      <c r="C30" s="58" t="s">
        <v>123</v>
      </c>
      <c r="D30" s="72">
        <v>72</v>
      </c>
      <c r="E30" s="73">
        <v>22</v>
      </c>
      <c r="F30" s="74">
        <f t="shared" si="14"/>
        <v>6</v>
      </c>
      <c r="G30" s="75">
        <f t="shared" si="17"/>
        <v>6</v>
      </c>
      <c r="H30" s="76">
        <f t="shared" si="18"/>
        <v>94</v>
      </c>
      <c r="I30" s="75">
        <f t="shared" si="15"/>
        <v>78</v>
      </c>
      <c r="J30" s="76">
        <f t="shared" si="16"/>
        <v>22</v>
      </c>
    </row>
    <row r="31" spans="1:10" ht="31.5" x14ac:dyDescent="0.25">
      <c r="C31" s="82" t="s">
        <v>157</v>
      </c>
      <c r="D31" s="77">
        <v>2.71</v>
      </c>
      <c r="E31" s="78">
        <v>2.87</v>
      </c>
      <c r="F31" s="79">
        <v>2.65</v>
      </c>
      <c r="G31" s="91">
        <f t="shared" si="17"/>
        <v>2.65</v>
      </c>
      <c r="H31" s="80" t="s">
        <v>158</v>
      </c>
      <c r="I31" s="75" t="s">
        <v>201</v>
      </c>
      <c r="J31" s="100">
        <v>2.87</v>
      </c>
    </row>
    <row r="32" spans="1:10" ht="15.75" x14ac:dyDescent="0.25">
      <c r="C32" s="70" t="s">
        <v>144</v>
      </c>
      <c r="E32" s="71"/>
      <c r="F32" s="71"/>
    </row>
    <row r="33" spans="3:4" x14ac:dyDescent="0.25">
      <c r="C33" s="90"/>
      <c r="D33" s="67" t="s">
        <v>159</v>
      </c>
    </row>
    <row r="34" spans="3:4" x14ac:dyDescent="0.25">
      <c r="C34" s="43" t="s">
        <v>160</v>
      </c>
    </row>
    <row r="35" spans="3:4" x14ac:dyDescent="0.25">
      <c r="C35" s="66"/>
      <c r="D35" s="43" t="s">
        <v>161</v>
      </c>
    </row>
    <row r="36" spans="3:4" x14ac:dyDescent="0.25">
      <c r="C36" s="69"/>
      <c r="D36" s="43" t="s">
        <v>162</v>
      </c>
    </row>
    <row r="37" spans="3:4" x14ac:dyDescent="0.25">
      <c r="C37" s="43" t="s">
        <v>163</v>
      </c>
    </row>
    <row r="41" spans="3:4" ht="15" customHeight="1" x14ac:dyDescent="0.25"/>
    <row r="42" spans="3:4" ht="33.75" customHeight="1" x14ac:dyDescent="0.25"/>
    <row r="48" spans="3:4" ht="48.75" customHeight="1" x14ac:dyDescent="0.25"/>
  </sheetData>
  <pageMargins left="0.25" right="0.25" top="0.75" bottom="0.75" header="0.3" footer="0.3"/>
  <pageSetup paperSize="8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9"/>
  <sheetViews>
    <sheetView tabSelected="1" topLeftCell="A61" zoomScaleNormal="100" workbookViewId="0">
      <selection activeCell="P75" sqref="P75"/>
    </sheetView>
  </sheetViews>
  <sheetFormatPr defaultRowHeight="15" x14ac:dyDescent="0.25"/>
  <cols>
    <col min="1" max="1" width="13.85546875" customWidth="1"/>
    <col min="2" max="8" width="12.5703125" bestFit="1" customWidth="1"/>
    <col min="15" max="15" width="13.28515625" bestFit="1" customWidth="1"/>
    <col min="16" max="16" width="16.7109375" bestFit="1" customWidth="1"/>
    <col min="18" max="18" width="36.140625" customWidth="1"/>
    <col min="19" max="19" width="8.5703125" bestFit="1" customWidth="1"/>
    <col min="20" max="21" width="8.7109375" bestFit="1" customWidth="1"/>
    <col min="22" max="23" width="8.85546875" bestFit="1" customWidth="1"/>
    <col min="24" max="24" width="10" style="32" bestFit="1" customWidth="1"/>
    <col min="25" max="25" width="11" style="32" bestFit="1" customWidth="1"/>
    <col min="26" max="26" width="10" style="32" bestFit="1" customWidth="1"/>
    <col min="27" max="27" width="11" style="32" bestFit="1" customWidth="1"/>
    <col min="28" max="28" width="13.28515625" style="32" bestFit="1" customWidth="1"/>
    <col min="30" max="30" width="13.28515625" bestFit="1" customWidth="1"/>
    <col min="31" max="31" width="21.42578125" bestFit="1" customWidth="1"/>
    <col min="32" max="32" width="17.85546875" style="43" bestFit="1" customWidth="1"/>
    <col min="33" max="33" width="12.28515625" customWidth="1"/>
    <col min="35" max="35" width="11.140625" customWidth="1"/>
    <col min="37" max="37" width="11.140625" customWidth="1"/>
    <col min="39" max="39" width="11.140625" customWidth="1"/>
    <col min="41" max="41" width="11.140625" customWidth="1"/>
    <col min="43" max="43" width="11.42578125" customWidth="1"/>
    <col min="45" max="45" width="11.28515625" customWidth="1"/>
    <col min="47" max="47" width="11.28515625" customWidth="1"/>
    <col min="49" max="49" width="11.28515625" customWidth="1"/>
  </cols>
  <sheetData>
    <row r="1" spans="1:49" x14ac:dyDescent="0.25">
      <c r="AD1" s="12"/>
      <c r="AE1" s="12"/>
      <c r="AG1" s="12"/>
      <c r="AH1" s="12"/>
      <c r="AI1" s="12" t="s">
        <v>81</v>
      </c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</row>
    <row r="2" spans="1:49" ht="18.75" x14ac:dyDescent="0.25">
      <c r="A2">
        <v>0.1</v>
      </c>
      <c r="P2" s="1" t="s">
        <v>72</v>
      </c>
      <c r="R2" s="20" t="s">
        <v>178</v>
      </c>
      <c r="AD2" s="12"/>
      <c r="AE2" s="12"/>
      <c r="AF2" s="97" t="s">
        <v>175</v>
      </c>
      <c r="AH2" s="12"/>
      <c r="AI2" s="12" t="s">
        <v>82</v>
      </c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</row>
    <row r="3" spans="1:49" x14ac:dyDescent="0.25">
      <c r="A3">
        <v>0.2</v>
      </c>
      <c r="N3" s="13" t="s">
        <v>119</v>
      </c>
      <c r="O3" s="2" t="s">
        <v>70</v>
      </c>
      <c r="P3" s="2" t="s">
        <v>71</v>
      </c>
      <c r="R3" s="1" t="s">
        <v>73</v>
      </c>
      <c r="AD3" s="12"/>
      <c r="AE3" s="12" t="s">
        <v>120</v>
      </c>
      <c r="AF3" s="12" t="s">
        <v>83</v>
      </c>
      <c r="AH3" s="12"/>
      <c r="AI3" s="19" t="s">
        <v>16</v>
      </c>
      <c r="AJ3" s="12"/>
      <c r="AK3" s="19" t="s">
        <v>16</v>
      </c>
      <c r="AL3" s="12"/>
      <c r="AM3" s="19" t="s">
        <v>16</v>
      </c>
      <c r="AN3" s="12"/>
      <c r="AO3" s="19" t="s">
        <v>16</v>
      </c>
      <c r="AP3" s="12"/>
      <c r="AQ3" s="19" t="s">
        <v>16</v>
      </c>
      <c r="AR3" s="12"/>
      <c r="AS3" s="19" t="s">
        <v>16</v>
      </c>
      <c r="AT3" s="12"/>
      <c r="AU3" s="19" t="s">
        <v>16</v>
      </c>
      <c r="AV3" s="12"/>
      <c r="AW3" s="19" t="s">
        <v>16</v>
      </c>
    </row>
    <row r="4" spans="1:49" x14ac:dyDescent="0.25">
      <c r="A4">
        <v>0.3</v>
      </c>
      <c r="N4" s="21">
        <v>5206</v>
      </c>
      <c r="O4" s="3" t="str">
        <f>F2829V!$A$1</f>
        <v>F2829V</v>
      </c>
      <c r="P4" s="10">
        <f>F2829V!$B$48</f>
        <v>0.67775199868112546</v>
      </c>
      <c r="S4" s="2" t="str">
        <f>F2829V!$A$1</f>
        <v>F2829V</v>
      </c>
      <c r="T4" s="2" t="str">
        <f>F2830H!$A$1</f>
        <v>F2830H</v>
      </c>
      <c r="U4" s="2" t="str">
        <f>F2852H!$A$1</f>
        <v>F2852H</v>
      </c>
      <c r="V4" s="2" t="str">
        <f>F2854H!$A$1</f>
        <v>F2854H</v>
      </c>
      <c r="W4" s="2" t="str">
        <f>F2859H!$A$1</f>
        <v>F2859H</v>
      </c>
      <c r="X4" s="13" t="str">
        <f>F2880H!$A$1</f>
        <v>F2880H</v>
      </c>
      <c r="Y4" s="13" t="str">
        <f>F2910H!$A$1</f>
        <v>F2910H</v>
      </c>
      <c r="Z4" s="13" t="str">
        <f>F2911V!$A$1</f>
        <v>F2911V</v>
      </c>
      <c r="AA4" s="13" t="str">
        <f>F2935H!$A$1</f>
        <v>F2935H</v>
      </c>
      <c r="AB4" s="6" t="str">
        <f>F2870H!$A$1</f>
        <v>F2870H(6mm)</v>
      </c>
      <c r="AD4" s="13" t="s">
        <v>70</v>
      </c>
      <c r="AE4" s="16" t="s">
        <v>84</v>
      </c>
      <c r="AF4" s="95" t="s">
        <v>181</v>
      </c>
      <c r="AG4" s="16" t="s">
        <v>85</v>
      </c>
      <c r="AH4" s="16" t="s">
        <v>86</v>
      </c>
      <c r="AI4" s="17" t="s">
        <v>86</v>
      </c>
      <c r="AJ4" s="14" t="s">
        <v>87</v>
      </c>
      <c r="AK4" s="17" t="s">
        <v>86</v>
      </c>
      <c r="AL4" s="14" t="s">
        <v>88</v>
      </c>
      <c r="AM4" s="17" t="s">
        <v>86</v>
      </c>
      <c r="AN4" s="14" t="s">
        <v>89</v>
      </c>
      <c r="AO4" s="17" t="s">
        <v>86</v>
      </c>
      <c r="AP4" s="14" t="s">
        <v>90</v>
      </c>
      <c r="AQ4" s="17" t="s">
        <v>86</v>
      </c>
      <c r="AR4" s="14" t="s">
        <v>91</v>
      </c>
      <c r="AS4" s="17" t="s">
        <v>86</v>
      </c>
      <c r="AT4" s="14" t="s">
        <v>92</v>
      </c>
      <c r="AU4" s="17" t="s">
        <v>86</v>
      </c>
      <c r="AV4" s="14" t="s">
        <v>93</v>
      </c>
      <c r="AW4" s="17" t="s">
        <v>86</v>
      </c>
    </row>
    <row r="5" spans="1:49" x14ac:dyDescent="0.25">
      <c r="A5">
        <v>0.4</v>
      </c>
      <c r="N5" s="21">
        <v>5206.05</v>
      </c>
      <c r="O5" s="3" t="str">
        <f>F2830H!$A$1</f>
        <v>F2830H</v>
      </c>
      <c r="P5" s="10">
        <f>F2830H!$B$48</f>
        <v>0.55193586873998102</v>
      </c>
      <c r="R5" s="6" t="s">
        <v>78</v>
      </c>
      <c r="S5" s="11">
        <f>F2829V!$B$44</f>
        <v>4.0378840524791047E-3</v>
      </c>
      <c r="T5" s="11">
        <f>F2830H!$B$44</f>
        <v>2.0128435043619262</v>
      </c>
      <c r="U5" s="11">
        <f>F2852H!$B$44</f>
        <v>0.71129622240410839</v>
      </c>
      <c r="V5" s="11">
        <f>F2854H!$B$44</f>
        <v>5.8768826777561782E-2</v>
      </c>
      <c r="W5" s="11">
        <f>F2859H!$B$44</f>
        <v>9.2906753568840178E-2</v>
      </c>
      <c r="X5" s="11">
        <f>F2880H!$B$44</f>
        <v>0.87282733565204085</v>
      </c>
      <c r="Y5" s="11">
        <f>F2910H!$B$44</f>
        <v>0.59090499456279222</v>
      </c>
      <c r="Z5" s="11">
        <f>F2911V!$B$44</f>
        <v>0.82408015022834236</v>
      </c>
      <c r="AA5" s="11">
        <f>F2935H!$B$44</f>
        <v>0.97930080089677474</v>
      </c>
      <c r="AB5" s="11">
        <f>F2870H!$B$44</f>
        <v>1.987423606017307E-3</v>
      </c>
      <c r="AD5" s="13" t="str">
        <f>F2829V!$A$1</f>
        <v>F2829V</v>
      </c>
      <c r="AE5" s="15">
        <v>6.7233999999999998</v>
      </c>
      <c r="AF5" s="96">
        <f>S9</f>
        <v>0.01</v>
      </c>
      <c r="AG5" s="15">
        <f>S9*F2829V!C20</f>
        <v>3.5507795174143028E-3</v>
      </c>
      <c r="AH5" s="96">
        <f>S9*F2829V!C19</f>
        <v>6.4492204825856991E-3</v>
      </c>
      <c r="AI5" s="37" t="s">
        <v>121</v>
      </c>
      <c r="AJ5" s="14"/>
      <c r="AK5" s="18"/>
      <c r="AL5" s="14"/>
      <c r="AM5" s="18"/>
      <c r="AN5" s="14"/>
      <c r="AO5" s="18"/>
      <c r="AP5" s="14"/>
      <c r="AQ5" s="18"/>
      <c r="AR5" s="14"/>
      <c r="AS5" s="18"/>
      <c r="AT5" s="14"/>
      <c r="AU5" s="18"/>
      <c r="AV5" s="14"/>
      <c r="AW5" s="18"/>
    </row>
    <row r="6" spans="1:49" x14ac:dyDescent="0.25">
      <c r="A6">
        <v>0.5</v>
      </c>
      <c r="N6" s="21">
        <v>5211.3999999999996</v>
      </c>
      <c r="O6" s="3" t="str">
        <f>F2852H!$A$1</f>
        <v>F2852H</v>
      </c>
      <c r="P6" s="10">
        <f>F2852H!$B$48</f>
        <v>0.58180850619684188</v>
      </c>
      <c r="R6" s="2" t="s">
        <v>74</v>
      </c>
      <c r="S6" s="11">
        <f>F2829V!$B$45</f>
        <v>2.2352470679150721E-3</v>
      </c>
      <c r="T6" s="11">
        <f>F2830H!$B$45</f>
        <v>2.6534950001318549</v>
      </c>
      <c r="U6" s="11">
        <f>F2852H!$B$45</f>
        <v>1.4905401440153121</v>
      </c>
      <c r="V6" s="11">
        <f>F2854H!$B$45</f>
        <v>0.81398292519077509</v>
      </c>
      <c r="W6" s="11">
        <f>F2859H!$B$45</f>
        <v>1.4059915602822799</v>
      </c>
      <c r="X6" s="11">
        <f>F2880H!$B$45</f>
        <v>5.480308072336431</v>
      </c>
      <c r="Y6" s="11">
        <f>F2910H!$B$45</f>
        <v>3.297597776982947</v>
      </c>
      <c r="Z6" s="11">
        <f>F2911V!$B$45</f>
        <v>5.3036508280998884</v>
      </c>
      <c r="AA6" s="11">
        <f>F2935H!$B$45</f>
        <v>5.6283702457830644</v>
      </c>
      <c r="AB6" s="11">
        <f>F2870H!$B$45</f>
        <v>0.1244835686656363</v>
      </c>
      <c r="AD6" s="13" t="str">
        <f>F2830H!$A$1</f>
        <v>F2830H</v>
      </c>
      <c r="AE6" s="15">
        <v>3.7824</v>
      </c>
      <c r="AF6" s="96">
        <f>T9</f>
        <v>4.9000000000000004</v>
      </c>
      <c r="AG6" s="96">
        <f>T9*F2830H!C20</f>
        <v>2.8366109181204622</v>
      </c>
      <c r="AH6" s="96">
        <f>T9*F2830H!C19</f>
        <v>2.0633890818794005</v>
      </c>
      <c r="AI6" s="18"/>
      <c r="AJ6" s="14"/>
      <c r="AK6" s="18"/>
      <c r="AL6" s="14"/>
      <c r="AM6" s="18"/>
      <c r="AN6" s="14"/>
      <c r="AO6" s="18"/>
      <c r="AP6" s="14"/>
      <c r="AQ6" s="18"/>
      <c r="AR6" s="14"/>
      <c r="AS6" s="18"/>
      <c r="AT6" s="14"/>
      <c r="AU6" s="18"/>
      <c r="AV6" s="14"/>
      <c r="AW6" s="18"/>
    </row>
    <row r="7" spans="1:49" x14ac:dyDescent="0.25">
      <c r="A7">
        <v>0.6</v>
      </c>
      <c r="N7" s="21">
        <v>5212.05</v>
      </c>
      <c r="O7" s="3" t="str">
        <f>F2854H!$A$1</f>
        <v>F2854H</v>
      </c>
      <c r="P7" s="10">
        <f>F2854H!$B$48</f>
        <v>0.53778410817397537</v>
      </c>
      <c r="R7" s="2" t="s">
        <v>75</v>
      </c>
      <c r="S7" s="11">
        <f>F2829V!$B$46</f>
        <v>0</v>
      </c>
      <c r="T7" s="11">
        <f>F2830H!$B$46</f>
        <v>0.12672927966014139</v>
      </c>
      <c r="U7" s="11">
        <f>F2852H!$B$46</f>
        <v>0.1529845818334902</v>
      </c>
      <c r="V7" s="11">
        <f>F2854H!$B$46</f>
        <v>1.524823428009364</v>
      </c>
      <c r="W7" s="11">
        <f>F2859H!$B$46</f>
        <v>1.9686538935296141</v>
      </c>
      <c r="X7" s="11">
        <f>F2880H!$B$46</f>
        <v>2.4738065451683431</v>
      </c>
      <c r="Y7" s="11">
        <f>F2910H!$B$46</f>
        <v>3.652506502521462</v>
      </c>
      <c r="Z7" s="11">
        <f>F2911V!$B$46</f>
        <v>3.982316396703347</v>
      </c>
      <c r="AA7" s="11">
        <f>F2935H!$B$46</f>
        <v>5.8716375996853243</v>
      </c>
      <c r="AB7" s="11">
        <f>F2935H!$B$46</f>
        <v>5.8716375996853243</v>
      </c>
      <c r="AD7" s="13" t="str">
        <f>F2852H!$A$1</f>
        <v>F2852H</v>
      </c>
      <c r="AE7" s="15">
        <v>1.3284</v>
      </c>
      <c r="AF7" s="96">
        <f>U9</f>
        <v>2.4</v>
      </c>
      <c r="AG7" s="96">
        <f>U9*F2852H!C20</f>
        <v>1.6734696450723801</v>
      </c>
      <c r="AH7" s="96">
        <f>U9*F2852H!C19</f>
        <v>0.72653035492755291</v>
      </c>
      <c r="AI7" s="18"/>
      <c r="AJ7" s="14"/>
      <c r="AK7" s="18"/>
      <c r="AL7" s="14"/>
      <c r="AM7" s="18"/>
      <c r="AN7" s="14"/>
      <c r="AO7" s="18"/>
      <c r="AP7" s="14"/>
      <c r="AQ7" s="18"/>
      <c r="AR7" s="14"/>
      <c r="AS7" s="18"/>
      <c r="AT7" s="14"/>
      <c r="AU7" s="18"/>
      <c r="AV7" s="14"/>
      <c r="AW7" s="18"/>
    </row>
    <row r="8" spans="1:49" x14ac:dyDescent="0.25">
      <c r="A8">
        <v>0.7</v>
      </c>
      <c r="N8" s="21">
        <v>5212.8999999999996</v>
      </c>
      <c r="O8" s="3" t="str">
        <f>F2859H!$A$1</f>
        <v>F2859H</v>
      </c>
      <c r="P8" s="10">
        <f>F2859H!$B$48</f>
        <v>0.53727092978402957</v>
      </c>
      <c r="R8" s="2" t="s">
        <v>76</v>
      </c>
      <c r="S8" s="11">
        <f>F2829V!$B$47</f>
        <v>0</v>
      </c>
      <c r="T8" s="11">
        <f>F2830H!$B$47</f>
        <v>0</v>
      </c>
      <c r="U8" s="11">
        <f>F2852H!$B$47</f>
        <v>0</v>
      </c>
      <c r="V8" s="11">
        <f>F2854H!$B$47</f>
        <v>0.53287974748047695</v>
      </c>
      <c r="W8" s="11">
        <f>F2859H!$B$47</f>
        <v>0.33187218784510503</v>
      </c>
      <c r="X8" s="11">
        <f>F2880H!$B$47</f>
        <v>0.30520454421740489</v>
      </c>
      <c r="Y8" s="11">
        <f>F2910H!$B$47</f>
        <v>1.149835745511923</v>
      </c>
      <c r="Z8" s="11">
        <f>F2911V!$B$47</f>
        <v>1.206216524405586</v>
      </c>
      <c r="AA8" s="11">
        <f>F2935H!$B$47</f>
        <v>1.221666333776662</v>
      </c>
      <c r="AB8" s="11">
        <f>F2870H!$B$47</f>
        <v>2.5390157908788721E-2</v>
      </c>
      <c r="AD8" s="13" t="str">
        <f>F2854H!$A$1</f>
        <v>F2854H</v>
      </c>
      <c r="AE8" s="15">
        <v>8.0283999999999995</v>
      </c>
      <c r="AF8" s="96">
        <f>V9</f>
        <v>3.1</v>
      </c>
      <c r="AG8" s="96">
        <f>V9*F2854H!C20</f>
        <v>3.0377322015169952</v>
      </c>
      <c r="AH8" s="96">
        <f>V9*F2854H!C19</f>
        <v>6.2267798482997926E-2</v>
      </c>
      <c r="AI8" s="18"/>
      <c r="AJ8" s="14"/>
      <c r="AK8" s="18"/>
      <c r="AL8" s="14"/>
      <c r="AM8" s="18"/>
      <c r="AN8" s="14"/>
      <c r="AO8" s="18"/>
      <c r="AP8" s="14"/>
      <c r="AQ8" s="18"/>
      <c r="AR8" s="14"/>
      <c r="AS8" s="18"/>
      <c r="AT8" s="14"/>
      <c r="AU8" s="18"/>
      <c r="AV8" s="14"/>
      <c r="AW8" s="18"/>
    </row>
    <row r="9" spans="1:49" ht="30" x14ac:dyDescent="0.25">
      <c r="A9">
        <v>0.8</v>
      </c>
      <c r="N9" s="21">
        <v>5218.25</v>
      </c>
      <c r="O9" s="21" t="str">
        <f>F2880H!$A$1</f>
        <v>F2880H</v>
      </c>
      <c r="P9" s="10">
        <f>F2880H!$B$48</f>
        <v>0.5602939833086511</v>
      </c>
      <c r="R9" s="94" t="s">
        <v>179</v>
      </c>
      <c r="S9" s="4">
        <f>'Mineral dual thresh'!D4</f>
        <v>0.01</v>
      </c>
      <c r="T9" s="96">
        <f>'Mineral dual thresh'!E4</f>
        <v>4.9000000000000004</v>
      </c>
      <c r="U9" s="96">
        <f>'Mineral dual thresh'!F4</f>
        <v>2.4</v>
      </c>
      <c r="V9" s="96">
        <f>'Mineral dual thresh'!G4</f>
        <v>3.1</v>
      </c>
      <c r="W9" s="96">
        <f>'Mineral dual thresh'!H4</f>
        <v>3.93</v>
      </c>
      <c r="X9" s="96">
        <f>'Mineral dual thresh'!I4</f>
        <v>9.3000000000000007</v>
      </c>
      <c r="Y9" s="96">
        <f>'Mineral dual thresh'!J4</f>
        <v>9.3699999999999992</v>
      </c>
      <c r="Z9" s="96">
        <f>'Mineral dual thresh'!K4</f>
        <v>11.7</v>
      </c>
      <c r="AA9" s="96">
        <f>'Mineral dual thresh'!L4</f>
        <v>14.11</v>
      </c>
      <c r="AB9" s="96">
        <f>'Mineral dual thresh'!M4</f>
        <v>0.38</v>
      </c>
      <c r="AD9" s="13" t="str">
        <f>F2859H!$A$1</f>
        <v>F2859H</v>
      </c>
      <c r="AE9" s="15">
        <v>6.37</v>
      </c>
      <c r="AF9" s="96">
        <f>W9</f>
        <v>3.93</v>
      </c>
      <c r="AG9" s="96">
        <f>W9*F2859H!C20</f>
        <v>3.8337231620654291</v>
      </c>
      <c r="AH9" s="96">
        <f>W9*F2859H!C19</f>
        <v>9.627683793456264E-2</v>
      </c>
      <c r="AI9" s="18"/>
      <c r="AJ9" s="14"/>
      <c r="AK9" s="18"/>
      <c r="AL9" s="14"/>
      <c r="AM9" s="18"/>
      <c r="AN9" s="14"/>
      <c r="AO9" s="18"/>
      <c r="AP9" s="14"/>
      <c r="AQ9" s="18"/>
      <c r="AR9" s="14"/>
      <c r="AS9" s="18"/>
      <c r="AT9" s="14"/>
      <c r="AU9" s="18"/>
      <c r="AV9" s="14"/>
      <c r="AW9" s="18"/>
    </row>
    <row r="10" spans="1:49" ht="15" customHeight="1" x14ac:dyDescent="0.25">
      <c r="A10">
        <v>0.9</v>
      </c>
      <c r="N10" s="21">
        <v>5225.7</v>
      </c>
      <c r="O10" s="21" t="str">
        <f>F2910H!$A$1</f>
        <v>F2910H</v>
      </c>
      <c r="P10" s="10">
        <f>F2910H!$B$48</f>
        <v>0.56924220638226519</v>
      </c>
      <c r="R10" s="5" t="s">
        <v>202</v>
      </c>
      <c r="S10" s="4">
        <v>6.7233999999999998</v>
      </c>
      <c r="T10" s="4">
        <v>3.7824</v>
      </c>
      <c r="U10" s="4">
        <v>1.3284</v>
      </c>
      <c r="V10" s="4">
        <v>8.0283999999999995</v>
      </c>
      <c r="W10" s="4">
        <v>6.37</v>
      </c>
      <c r="X10" s="15">
        <v>13.7158</v>
      </c>
      <c r="Y10" s="15">
        <v>14.6312</v>
      </c>
      <c r="Z10" s="15">
        <v>23.7334</v>
      </c>
      <c r="AA10" s="15">
        <v>12.8634</v>
      </c>
      <c r="AB10" s="15">
        <v>4.4610000000000003</v>
      </c>
      <c r="AD10" s="13" t="str">
        <f>F2880H!$A$1</f>
        <v>F2880H</v>
      </c>
      <c r="AE10" s="15">
        <v>13.7158</v>
      </c>
      <c r="AF10" s="96">
        <f>X9</f>
        <v>9.3000000000000007</v>
      </c>
      <c r="AG10" s="96">
        <f>X9*F2880H!C20</f>
        <v>8.4087827551212069</v>
      </c>
      <c r="AH10" s="96">
        <f>X9*F2880H!C19</f>
        <v>0.89121724487876763</v>
      </c>
      <c r="AI10" s="18"/>
      <c r="AJ10" s="21"/>
      <c r="AK10" s="18"/>
      <c r="AL10" s="21"/>
      <c r="AM10" s="18"/>
      <c r="AN10" s="21"/>
      <c r="AO10" s="18"/>
      <c r="AP10" s="21"/>
      <c r="AQ10" s="18"/>
      <c r="AR10" s="21"/>
      <c r="AS10" s="18"/>
      <c r="AT10" s="21"/>
      <c r="AU10" s="18"/>
      <c r="AV10" s="21"/>
      <c r="AW10" s="18"/>
    </row>
    <row r="11" spans="1:49" x14ac:dyDescent="0.25">
      <c r="A11">
        <v>1</v>
      </c>
      <c r="N11" s="21">
        <v>5225.75</v>
      </c>
      <c r="O11" s="21" t="str">
        <f>F2911V!$A$1</f>
        <v>F2911V</v>
      </c>
      <c r="P11" s="10">
        <f>F2911V!$B$48</f>
        <v>0.54715048503363972</v>
      </c>
      <c r="R11" s="7" t="s">
        <v>77</v>
      </c>
      <c r="S11" s="8">
        <f>S10-S9</f>
        <v>6.7134</v>
      </c>
      <c r="T11" s="33">
        <f t="shared" ref="T11:AA11" si="0">T10-T9</f>
        <v>-1.1176000000000004</v>
      </c>
      <c r="U11" s="33">
        <f t="shared" si="0"/>
        <v>-1.0715999999999999</v>
      </c>
      <c r="V11" s="8">
        <f t="shared" si="0"/>
        <v>4.9283999999999999</v>
      </c>
      <c r="W11" s="8">
        <f t="shared" si="0"/>
        <v>2.44</v>
      </c>
      <c r="X11" s="8">
        <f t="shared" si="0"/>
        <v>4.4157999999999991</v>
      </c>
      <c r="Y11" s="8">
        <f t="shared" si="0"/>
        <v>5.2612000000000005</v>
      </c>
      <c r="Z11" s="8">
        <f t="shared" si="0"/>
        <v>12.0334</v>
      </c>
      <c r="AA11" s="33">
        <f t="shared" si="0"/>
        <v>-1.246599999999999</v>
      </c>
      <c r="AB11" s="8">
        <f t="shared" ref="AB11" si="1">AB10-AB9</f>
        <v>4.0810000000000004</v>
      </c>
      <c r="AD11" s="13" t="str">
        <f>F2910H!$A$1</f>
        <v>F2910H</v>
      </c>
      <c r="AE11" s="15">
        <v>14.6312</v>
      </c>
      <c r="AF11" s="96">
        <f>Y9</f>
        <v>9.3699999999999992</v>
      </c>
      <c r="AG11" s="96">
        <f>Y9*F2910H!C20</f>
        <v>8.7306472055399862</v>
      </c>
      <c r="AH11" s="96">
        <f>Y9*F2910H!C19</f>
        <v>0.63935279445998761</v>
      </c>
      <c r="AI11" s="18"/>
      <c r="AJ11" s="21"/>
      <c r="AK11" s="18"/>
      <c r="AL11" s="21"/>
      <c r="AM11" s="18"/>
      <c r="AN11" s="21"/>
      <c r="AO11" s="18"/>
      <c r="AP11" s="21"/>
      <c r="AQ11" s="18"/>
      <c r="AR11" s="21"/>
      <c r="AS11" s="18"/>
      <c r="AT11" s="21"/>
      <c r="AU11" s="18"/>
      <c r="AV11" s="21"/>
      <c r="AW11" s="18"/>
    </row>
    <row r="12" spans="1:49" x14ac:dyDescent="0.25">
      <c r="N12" s="21">
        <v>5232.25</v>
      </c>
      <c r="O12" s="21" t="str">
        <f>F2935H!$A$1</f>
        <v>F2935H</v>
      </c>
      <c r="P12" s="10">
        <f>F2935H!$B$48</f>
        <v>0.55726414932335011</v>
      </c>
      <c r="R12" s="3" t="s">
        <v>79</v>
      </c>
      <c r="S12" s="3">
        <f>S9/S10</f>
        <v>1.4873427135080465E-3</v>
      </c>
      <c r="T12" s="3">
        <f t="shared" ref="T12:AA12" si="2">T9/T10</f>
        <v>1.2954737732656516</v>
      </c>
      <c r="U12" s="3">
        <f t="shared" si="2"/>
        <v>1.8066847335140017</v>
      </c>
      <c r="V12" s="3">
        <f t="shared" si="2"/>
        <v>0.38612924119376218</v>
      </c>
      <c r="W12" s="3">
        <f t="shared" si="2"/>
        <v>0.61695447409733128</v>
      </c>
      <c r="X12" s="21">
        <f t="shared" si="2"/>
        <v>0.67805013196459563</v>
      </c>
      <c r="Y12" s="21">
        <f t="shared" si="2"/>
        <v>0.64041226967029352</v>
      </c>
      <c r="Z12" s="21">
        <f t="shared" si="2"/>
        <v>0.4929761433254401</v>
      </c>
      <c r="AA12" s="21">
        <f t="shared" si="2"/>
        <v>1.0969106146119998</v>
      </c>
      <c r="AB12" s="21">
        <f t="shared" ref="AB12" si="3">AB9/AB10</f>
        <v>8.5182694463124861E-2</v>
      </c>
      <c r="AD12" s="13" t="str">
        <f>F2911V!$A$1</f>
        <v>F2911V</v>
      </c>
      <c r="AE12" s="15">
        <v>23.7334</v>
      </c>
      <c r="AF12" s="96">
        <f>Z9</f>
        <v>11.7</v>
      </c>
      <c r="AG12" s="96">
        <f>Z9*F2911V!C20</f>
        <v>10.845706005336357</v>
      </c>
      <c r="AH12" s="96">
        <f>Z9*F2911V!C19</f>
        <v>0.85429399466335998</v>
      </c>
      <c r="AI12" s="18"/>
      <c r="AJ12" s="21"/>
      <c r="AK12" s="18"/>
      <c r="AL12" s="21"/>
      <c r="AM12" s="18"/>
      <c r="AN12" s="21"/>
      <c r="AO12" s="18"/>
      <c r="AP12" s="21"/>
      <c r="AQ12" s="18"/>
      <c r="AR12" s="21"/>
      <c r="AS12" s="18"/>
      <c r="AT12" s="21"/>
      <c r="AU12" s="18"/>
      <c r="AV12" s="21"/>
      <c r="AW12" s="18"/>
    </row>
    <row r="13" spans="1:49" x14ac:dyDescent="0.25">
      <c r="N13" s="9">
        <v>5215.55</v>
      </c>
      <c r="O13" s="9" t="str">
        <f>F2870H!$A$1</f>
        <v>F2870H(6mm)</v>
      </c>
      <c r="P13" s="38">
        <f>F2870H!$B$48</f>
        <v>0.55125386883377991</v>
      </c>
      <c r="R13" s="9" t="s">
        <v>80</v>
      </c>
      <c r="S13" s="9">
        <f>S11/S10</f>
        <v>0.99851265728649197</v>
      </c>
      <c r="T13" s="9">
        <f t="shared" ref="T13:AA13" si="4">T11/T10</f>
        <v>-0.29547377326565155</v>
      </c>
      <c r="U13" s="9">
        <f t="shared" si="4"/>
        <v>-0.80668473351400172</v>
      </c>
      <c r="V13" s="9">
        <f t="shared" si="4"/>
        <v>0.61387075880623787</v>
      </c>
      <c r="W13" s="9">
        <f t="shared" si="4"/>
        <v>0.38304552590266877</v>
      </c>
      <c r="X13" s="9">
        <f t="shared" si="4"/>
        <v>0.32194986803540437</v>
      </c>
      <c r="Y13" s="9">
        <f t="shared" si="4"/>
        <v>0.35958773032970642</v>
      </c>
      <c r="Z13" s="9">
        <f t="shared" si="4"/>
        <v>0.50702385667455996</v>
      </c>
      <c r="AA13" s="9">
        <f t="shared" si="4"/>
        <v>-9.691061461199986E-2</v>
      </c>
      <c r="AB13" s="9">
        <f t="shared" ref="AB13" si="5">AB11/AB10</f>
        <v>0.91481730553687512</v>
      </c>
      <c r="AD13" s="13" t="str">
        <f>F2935H!$A$1</f>
        <v>F2935H</v>
      </c>
      <c r="AE13" s="15">
        <v>12.8634</v>
      </c>
      <c r="AF13" s="96">
        <f>AA9</f>
        <v>14.11</v>
      </c>
      <c r="AG13" s="96">
        <f>AA9*F2935H!C20</f>
        <v>13.098934954991288</v>
      </c>
      <c r="AH13" s="96">
        <f>AA9*F2935H!C19</f>
        <v>1.0110650450086007</v>
      </c>
      <c r="AI13" s="18"/>
      <c r="AJ13" s="21"/>
      <c r="AK13" s="18"/>
      <c r="AL13" s="21"/>
      <c r="AM13" s="18"/>
      <c r="AN13" s="21"/>
      <c r="AO13" s="18"/>
      <c r="AP13" s="21"/>
      <c r="AQ13" s="18"/>
      <c r="AR13" s="21"/>
      <c r="AS13" s="18"/>
      <c r="AT13" s="21"/>
      <c r="AU13" s="18"/>
      <c r="AV13" s="21"/>
      <c r="AW13" s="18"/>
    </row>
    <row r="14" spans="1:49" x14ac:dyDescent="0.25">
      <c r="R14" s="22" t="s">
        <v>95</v>
      </c>
      <c r="S14" s="11">
        <f>F2829V!$B$6</f>
        <v>28.617085830000001</v>
      </c>
      <c r="T14" s="11">
        <f>F2830H!$B$6</f>
        <v>22.97866225000001</v>
      </c>
      <c r="U14" s="11">
        <f>F2852H!$B$6</f>
        <v>25.82213577000001</v>
      </c>
      <c r="V14" s="11">
        <f>F2854H!$B$6</f>
        <v>28.617085830000001</v>
      </c>
      <c r="W14" s="11">
        <f>F2859H!$B$6</f>
        <v>25.82213577000001</v>
      </c>
      <c r="X14" s="11">
        <f>F2880H!$B$6</f>
        <v>25.82213577000001</v>
      </c>
      <c r="Y14" s="11">
        <f>F2910H!$B$6</f>
        <v>25.82213577000001</v>
      </c>
      <c r="Z14" s="11">
        <f>F2911V!$B$6</f>
        <v>25.82213577000001</v>
      </c>
      <c r="AA14" s="11">
        <f>F2935H!$B$6</f>
        <v>25.82213577000001</v>
      </c>
      <c r="AB14" s="11">
        <f>F2935H!$B$6</f>
        <v>25.82213577000001</v>
      </c>
      <c r="AD14" s="6" t="str">
        <f>F2870H!$A$1</f>
        <v>F2870H(6mm)</v>
      </c>
      <c r="AE14" s="8">
        <f>AB10</f>
        <v>4.4610000000000003</v>
      </c>
      <c r="AF14" s="96">
        <f>AB9</f>
        <v>0.38</v>
      </c>
      <c r="AG14" s="96">
        <f>AB9*F2870H!C20</f>
        <v>0.37796157712526701</v>
      </c>
      <c r="AH14" s="96">
        <f>AB9*F2870H!C19</f>
        <v>2.0384228747337137E-3</v>
      </c>
      <c r="AI14" s="18"/>
      <c r="AJ14" s="21"/>
      <c r="AK14" s="18"/>
      <c r="AL14" s="21"/>
      <c r="AM14" s="18"/>
      <c r="AN14" s="21"/>
      <c r="AO14" s="18"/>
      <c r="AP14" s="21"/>
      <c r="AQ14" s="18"/>
      <c r="AR14" s="21"/>
      <c r="AS14" s="18"/>
      <c r="AT14" s="21"/>
      <c r="AU14" s="18"/>
      <c r="AV14" s="21"/>
      <c r="AW14" s="18"/>
    </row>
    <row r="15" spans="1:49" x14ac:dyDescent="0.25">
      <c r="R15" s="22" t="s">
        <v>96</v>
      </c>
      <c r="S15" s="34">
        <f>F2829V!$B$7</f>
        <v>2726.1216680000011</v>
      </c>
      <c r="T15" s="34">
        <f>F2830H!$B$7</f>
        <v>21535.904210000001</v>
      </c>
      <c r="U15" s="34">
        <f>F2852H!$B$7</f>
        <v>47268.675349999998</v>
      </c>
      <c r="V15" s="34">
        <f>F2854H!$B$7</f>
        <v>342081.70260000002</v>
      </c>
      <c r="W15" s="34">
        <f>F2859H!$B$7</f>
        <v>173392.68220000001</v>
      </c>
      <c r="X15" s="34">
        <f>F2880H!$B$7</f>
        <v>280403.43339999998</v>
      </c>
      <c r="Y15" s="34">
        <f>F2910H!$B$7</f>
        <v>2982101.2519999999</v>
      </c>
      <c r="Z15" s="34">
        <f>F2911V!$B$7</f>
        <v>705065.96960000007</v>
      </c>
      <c r="AA15" s="34">
        <f>F2935H!$B$7</f>
        <v>1052435.0330000001</v>
      </c>
      <c r="AB15" s="34">
        <f>F2935H!$B$7</f>
        <v>1052435.0330000001</v>
      </c>
    </row>
    <row r="16" spans="1:49" x14ac:dyDescent="0.25">
      <c r="R16" s="22" t="s">
        <v>97</v>
      </c>
      <c r="S16" s="36">
        <f>S15*0.000001</f>
        <v>2.726121668000001E-3</v>
      </c>
      <c r="T16" s="36">
        <f t="shared" ref="T16:W16" si="6">T15*0.000001</f>
        <v>2.1535904209999998E-2</v>
      </c>
      <c r="U16" s="36">
        <f t="shared" si="6"/>
        <v>4.7268675349999997E-2</v>
      </c>
      <c r="V16" s="36">
        <f t="shared" si="6"/>
        <v>0.34208170259999998</v>
      </c>
      <c r="W16" s="36">
        <f t="shared" si="6"/>
        <v>0.17339268220000001</v>
      </c>
      <c r="X16" s="36">
        <f>X15*0.000001</f>
        <v>0.28040343339999996</v>
      </c>
      <c r="Y16" s="36">
        <f t="shared" ref="Y16:AA16" si="7">Y15*0.000001</f>
        <v>2.9821012519999996</v>
      </c>
      <c r="Z16" s="36">
        <f t="shared" si="7"/>
        <v>0.70506596960000001</v>
      </c>
      <c r="AA16" s="36">
        <f t="shared" si="7"/>
        <v>1.0524350330000001</v>
      </c>
      <c r="AB16" s="36">
        <f t="shared" ref="AB16" si="8">AB15*0.000001</f>
        <v>1.0524350330000001</v>
      </c>
    </row>
    <row r="17" spans="18:28" x14ac:dyDescent="0.25">
      <c r="R17" s="23" t="s">
        <v>98</v>
      </c>
      <c r="S17" s="11">
        <f>F2829V!$B$9</f>
        <v>6.0362575602633362</v>
      </c>
      <c r="T17" s="11">
        <f>F2830H!$B$9</f>
        <v>5.4090055889981361</v>
      </c>
      <c r="U17" s="11">
        <f>F2852H!$B$9</f>
        <v>5.7339135319504404</v>
      </c>
      <c r="V17" s="11">
        <f>F2854H!$B$9</f>
        <v>6.0362575602633362</v>
      </c>
      <c r="W17" s="11">
        <f>F2859H!$B$9</f>
        <v>5.7339135319504404</v>
      </c>
      <c r="X17" s="11">
        <f>F2829V!$B$9</f>
        <v>6.0362575602633362</v>
      </c>
      <c r="Y17" s="11">
        <f>F2830H!$B$9</f>
        <v>5.4090055889981361</v>
      </c>
      <c r="Z17" s="11">
        <f>F2852H!$B$9</f>
        <v>5.7339135319504404</v>
      </c>
      <c r="AA17" s="11">
        <f>F2854H!$B$9</f>
        <v>6.0362575602633362</v>
      </c>
      <c r="AB17" s="11">
        <f>F2854H!$B$9</f>
        <v>6.0362575602633362</v>
      </c>
    </row>
    <row r="18" spans="18:28" x14ac:dyDescent="0.25">
      <c r="R18" s="23" t="s">
        <v>99</v>
      </c>
      <c r="S18" s="34">
        <f>F2829V!$B$10</f>
        <v>58.915243455806781</v>
      </c>
      <c r="T18" s="34">
        <f>F2830H!$B$10</f>
        <v>165.59095649159249</v>
      </c>
      <c r="U18" s="34">
        <f>F2852H!$B$10</f>
        <v>245.3249817749269</v>
      </c>
      <c r="V18" s="34">
        <f>F2854H!$B$10</f>
        <v>659.96359845119741</v>
      </c>
      <c r="W18" s="34">
        <f>F2859H!$B$10</f>
        <v>469.86212844273462</v>
      </c>
      <c r="X18" s="34">
        <f>F2829V!$B$10</f>
        <v>58.915243455806781</v>
      </c>
      <c r="Y18" s="34">
        <f>F2830H!$B$10</f>
        <v>165.59095649159249</v>
      </c>
      <c r="Z18" s="34">
        <f>F2852H!$B$10</f>
        <v>245.3249817749269</v>
      </c>
      <c r="AA18" s="34">
        <f>F2854H!$B$10</f>
        <v>659.96359845119741</v>
      </c>
      <c r="AB18" s="34">
        <f>F2854H!$B$10</f>
        <v>659.96359845119741</v>
      </c>
    </row>
    <row r="19" spans="18:28" x14ac:dyDescent="0.25">
      <c r="R19" s="23" t="s">
        <v>100</v>
      </c>
      <c r="S19" s="35">
        <f>S18*0.001</f>
        <v>5.891524345580678E-2</v>
      </c>
      <c r="T19" s="35">
        <f t="shared" ref="T19:W19" si="9">T18*0.001</f>
        <v>0.1655909564915925</v>
      </c>
      <c r="U19" s="35">
        <f t="shared" si="9"/>
        <v>0.2453249817749269</v>
      </c>
      <c r="V19" s="35">
        <f t="shared" si="9"/>
        <v>0.65996359845119745</v>
      </c>
      <c r="W19" s="35">
        <f t="shared" si="9"/>
        <v>0.46986212844273462</v>
      </c>
      <c r="X19" s="35">
        <f>X18*0.001</f>
        <v>5.891524345580678E-2</v>
      </c>
      <c r="Y19" s="35">
        <f t="shared" ref="Y19:AA19" si="10">Y18*0.001</f>
        <v>0.1655909564915925</v>
      </c>
      <c r="Z19" s="35">
        <f t="shared" si="10"/>
        <v>0.2453249817749269</v>
      </c>
      <c r="AA19" s="35">
        <f t="shared" si="10"/>
        <v>0.65996359845119745</v>
      </c>
      <c r="AB19" s="35">
        <f t="shared" ref="AB19" si="11">AB18*0.001</f>
        <v>0.65996359845119745</v>
      </c>
    </row>
  </sheetData>
  <pageMargins left="0.25" right="0.25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9"/>
  <sheetViews>
    <sheetView topLeftCell="A16" workbookViewId="0">
      <selection activeCell="C19" sqref="C19:C20"/>
    </sheetView>
  </sheetViews>
  <sheetFormatPr defaultRowHeight="15" x14ac:dyDescent="0.25"/>
  <cols>
    <col min="1" max="1" width="75" bestFit="1" customWidth="1"/>
    <col min="2" max="2" width="12" bestFit="1" customWidth="1"/>
    <col min="3" max="3" width="16.85546875" bestFit="1" customWidth="1"/>
    <col min="4" max="4" width="13.28515625" bestFit="1" customWidth="1"/>
    <col min="5" max="5" width="21.42578125" bestFit="1" customWidth="1"/>
    <col min="6" max="6" width="26.5703125" bestFit="1" customWidth="1"/>
    <col min="7" max="7" width="30.28515625" bestFit="1" customWidth="1"/>
    <col min="8" max="8" width="26.28515625" bestFit="1" customWidth="1"/>
    <col min="9" max="9" width="28.85546875" bestFit="1" customWidth="1"/>
    <col min="10" max="10" width="32.5703125" bestFit="1" customWidth="1"/>
    <col min="11" max="11" width="28.5703125" bestFit="1" customWidth="1"/>
    <col min="12" max="12" width="26.140625" bestFit="1" customWidth="1"/>
    <col min="13" max="13" width="29.85546875" bestFit="1" customWidth="1"/>
    <col min="14" max="14" width="25.85546875" bestFit="1" customWidth="1"/>
    <col min="15" max="15" width="29.85546875" bestFit="1" customWidth="1"/>
    <col min="16" max="16" width="33.42578125" bestFit="1" customWidth="1"/>
    <col min="17" max="17" width="29.42578125" bestFit="1" customWidth="1"/>
  </cols>
  <sheetData>
    <row r="1" spans="1:2" x14ac:dyDescent="0.25">
      <c r="A1" t="s">
        <v>101</v>
      </c>
    </row>
    <row r="2" spans="1:2" x14ac:dyDescent="0.25">
      <c r="A2" s="24" t="s">
        <v>0</v>
      </c>
      <c r="B2" s="24"/>
    </row>
    <row r="3" spans="1:2" x14ac:dyDescent="0.25">
      <c r="A3" s="24" t="s">
        <v>1</v>
      </c>
      <c r="B3" s="24">
        <v>1.27</v>
      </c>
    </row>
    <row r="4" spans="1:2" x14ac:dyDescent="0.25">
      <c r="A4" s="24" t="s">
        <v>2</v>
      </c>
      <c r="B4" s="24">
        <v>2</v>
      </c>
    </row>
    <row r="5" spans="1:2" x14ac:dyDescent="0.25">
      <c r="A5" s="24" t="s">
        <v>3</v>
      </c>
      <c r="B5" s="24">
        <v>6.4516</v>
      </c>
    </row>
    <row r="6" spans="1:2" x14ac:dyDescent="0.25">
      <c r="A6" s="24" t="s">
        <v>4</v>
      </c>
      <c r="B6" s="24">
        <v>28.617085830000001</v>
      </c>
    </row>
    <row r="7" spans="1:2" x14ac:dyDescent="0.25">
      <c r="A7" s="24" t="s">
        <v>5</v>
      </c>
      <c r="B7" s="24">
        <v>2726.1216680000011</v>
      </c>
    </row>
    <row r="8" spans="1:2" x14ac:dyDescent="0.25">
      <c r="A8" s="24" t="s">
        <v>6</v>
      </c>
      <c r="B8" s="24">
        <v>227.56565198880551</v>
      </c>
    </row>
    <row r="9" spans="1:2" x14ac:dyDescent="0.25">
      <c r="A9" s="24" t="s">
        <v>7</v>
      </c>
      <c r="B9" s="24">
        <v>6.0362575602633362</v>
      </c>
    </row>
    <row r="10" spans="1:2" x14ac:dyDescent="0.25">
      <c r="A10" s="24" t="s">
        <v>8</v>
      </c>
      <c r="B10" s="24">
        <v>58.915243455806781</v>
      </c>
    </row>
    <row r="11" spans="1:2" x14ac:dyDescent="0.25">
      <c r="A11" s="24" t="s">
        <v>9</v>
      </c>
      <c r="B11" s="24">
        <v>15.778520088832799</v>
      </c>
    </row>
    <row r="12" spans="1:2" x14ac:dyDescent="0.25">
      <c r="A12" s="24" t="s">
        <v>10</v>
      </c>
      <c r="B12" s="24">
        <v>3.0181287801316681</v>
      </c>
    </row>
    <row r="13" spans="1:2" x14ac:dyDescent="0.25">
      <c r="A13" s="24" t="s">
        <v>11</v>
      </c>
      <c r="B13" s="24">
        <v>29.457621727903391</v>
      </c>
    </row>
    <row r="14" spans="1:2" x14ac:dyDescent="0.25">
      <c r="A14" s="24" t="s">
        <v>12</v>
      </c>
      <c r="B14" s="24">
        <v>7.8892600444163978</v>
      </c>
    </row>
    <row r="15" spans="1:2" x14ac:dyDescent="0.25">
      <c r="A15" s="24" t="s">
        <v>13</v>
      </c>
      <c r="B15" s="24">
        <v>9.319288138000001</v>
      </c>
    </row>
    <row r="16" spans="1:2" x14ac:dyDescent="0.25">
      <c r="A16" s="24" t="s">
        <v>14</v>
      </c>
      <c r="B16" s="24">
        <v>68.364740580000003</v>
      </c>
    </row>
    <row r="17" spans="1:3" x14ac:dyDescent="0.25">
      <c r="A17" s="24" t="s">
        <v>15</v>
      </c>
      <c r="B17" s="24">
        <v>21.729240060953568</v>
      </c>
    </row>
    <row r="18" spans="1:3" x14ac:dyDescent="0.25">
      <c r="A18" s="24" t="s">
        <v>16</v>
      </c>
      <c r="B18" s="24">
        <v>6.2950883234304351E-3</v>
      </c>
      <c r="C18" t="s">
        <v>180</v>
      </c>
    </row>
    <row r="19" spans="1:3" x14ac:dyDescent="0.25">
      <c r="A19" s="24" t="s">
        <v>17</v>
      </c>
      <c r="B19" s="24">
        <v>4.059841255515363E-3</v>
      </c>
      <c r="C19">
        <f>B19/B18</f>
        <v>0.64492204825856991</v>
      </c>
    </row>
    <row r="20" spans="1:3" x14ac:dyDescent="0.25">
      <c r="A20" s="24" t="s">
        <v>18</v>
      </c>
      <c r="B20" s="24">
        <v>2.235247067915073E-3</v>
      </c>
      <c r="C20">
        <f>B20/B18</f>
        <v>0.35507795174143025</v>
      </c>
    </row>
    <row r="21" spans="1:3" x14ac:dyDescent="0.25">
      <c r="A21" s="24" t="s">
        <v>19</v>
      </c>
      <c r="B21" s="24">
        <v>182.29478929696501</v>
      </c>
    </row>
    <row r="22" spans="1:3" x14ac:dyDescent="0.25">
      <c r="A22" s="24" t="s">
        <v>20</v>
      </c>
      <c r="B22" s="24">
        <v>757.0248805569538</v>
      </c>
    </row>
    <row r="23" spans="1:3" x14ac:dyDescent="0.25">
      <c r="A23" s="24" t="s">
        <v>21</v>
      </c>
      <c r="B23" s="24">
        <v>20.412238296329559</v>
      </c>
    </row>
    <row r="24" spans="1:3" x14ac:dyDescent="0.25">
      <c r="A24" s="24" t="s">
        <v>22</v>
      </c>
      <c r="B24" s="24">
        <v>37.132055400860921</v>
      </c>
    </row>
    <row r="25" spans="1:3" x14ac:dyDescent="0.25">
      <c r="A25" s="24" t="s">
        <v>23</v>
      </c>
      <c r="B25" s="24">
        <v>7.2610445463681241</v>
      </c>
    </row>
    <row r="26" spans="1:3" x14ac:dyDescent="0.25">
      <c r="A26" s="24" t="s">
        <v>24</v>
      </c>
      <c r="B26" s="24">
        <v>15.236469114305489</v>
      </c>
    </row>
    <row r="27" spans="1:3" x14ac:dyDescent="0.25">
      <c r="A27" s="24" t="s">
        <v>25</v>
      </c>
      <c r="B27" s="24">
        <v>0.44771114250165089</v>
      </c>
    </row>
    <row r="28" spans="1:3" x14ac:dyDescent="0.25">
      <c r="A28" s="24" t="s">
        <v>26</v>
      </c>
      <c r="B28" s="24">
        <v>0.45260748330624739</v>
      </c>
    </row>
    <row r="29" spans="1:3" x14ac:dyDescent="0.25">
      <c r="A29" s="24" t="s">
        <v>27</v>
      </c>
      <c r="B29" s="24">
        <v>0.39044665335650169</v>
      </c>
    </row>
    <row r="30" spans="1:3" x14ac:dyDescent="0.25">
      <c r="A30" s="24" t="s">
        <v>28</v>
      </c>
      <c r="B30" s="24">
        <v>0.20044526712013361</v>
      </c>
    </row>
    <row r="31" spans="1:3" x14ac:dyDescent="0.25">
      <c r="A31" s="24" t="s">
        <v>29</v>
      </c>
      <c r="B31" s="24">
        <v>0.20485353394481509</v>
      </c>
    </row>
    <row r="32" spans="1:3" x14ac:dyDescent="0.25">
      <c r="A32" s="24" t="s">
        <v>30</v>
      </c>
      <c r="B32" s="24">
        <v>0.1524485891172922</v>
      </c>
    </row>
    <row r="33" spans="1:2" x14ac:dyDescent="0.25">
      <c r="A33" s="24" t="s">
        <v>31</v>
      </c>
      <c r="B33" s="24">
        <v>0.16948043270208249</v>
      </c>
    </row>
    <row r="34" spans="1:2" x14ac:dyDescent="0.25">
      <c r="A34" s="24" t="s">
        <v>32</v>
      </c>
      <c r="B34" s="24">
        <v>0.178203366301003</v>
      </c>
    </row>
    <row r="35" spans="1:2" x14ac:dyDescent="0.25">
      <c r="A35" s="24" t="s">
        <v>33</v>
      </c>
      <c r="B35" s="24">
        <v>6.7462547035238365E-2</v>
      </c>
    </row>
    <row r="36" spans="1:2" x14ac:dyDescent="0.25">
      <c r="A36" s="24" t="s">
        <v>34</v>
      </c>
      <c r="B36" s="24">
        <v>4916951.4563999996</v>
      </c>
    </row>
    <row r="37" spans="1:2" x14ac:dyDescent="0.25">
      <c r="A37" s="24" t="s">
        <v>35</v>
      </c>
      <c r="B37" s="24">
        <v>1.0669614591190461E-5</v>
      </c>
    </row>
    <row r="38" spans="1:2" x14ac:dyDescent="0.25">
      <c r="A38" s="24" t="s">
        <v>36</v>
      </c>
      <c r="B38" s="24">
        <v>1.1100454351692659</v>
      </c>
    </row>
    <row r="39" spans="1:2" x14ac:dyDescent="0.25">
      <c r="A39" s="24" t="s">
        <v>37</v>
      </c>
      <c r="B39" s="24">
        <v>0.44401817406770622</v>
      </c>
    </row>
    <row r="40" spans="1:2" x14ac:dyDescent="0.25">
      <c r="A40" s="24" t="s">
        <v>38</v>
      </c>
      <c r="B40" s="24" t="s">
        <v>39</v>
      </c>
    </row>
    <row r="41" spans="1:2" x14ac:dyDescent="0.25">
      <c r="A41" s="24" t="s">
        <v>40</v>
      </c>
      <c r="B41" s="24">
        <v>0</v>
      </c>
    </row>
    <row r="42" spans="1:2" x14ac:dyDescent="0.25">
      <c r="A42" s="24" t="s">
        <v>41</v>
      </c>
      <c r="B42" s="24">
        <v>0</v>
      </c>
    </row>
    <row r="43" spans="1:2" x14ac:dyDescent="0.25">
      <c r="A43" s="24" t="s">
        <v>42</v>
      </c>
      <c r="B43" s="24">
        <v>2.1957203036257539E-5</v>
      </c>
    </row>
    <row r="44" spans="1:2" x14ac:dyDescent="0.25">
      <c r="A44" s="24" t="s">
        <v>43</v>
      </c>
      <c r="B44" s="24">
        <v>4.0378840524791047E-3</v>
      </c>
    </row>
    <row r="45" spans="1:2" x14ac:dyDescent="0.25">
      <c r="A45" s="24" t="s">
        <v>44</v>
      </c>
      <c r="B45" s="24">
        <v>2.2352470679150721E-3</v>
      </c>
    </row>
    <row r="46" spans="1:2" x14ac:dyDescent="0.25">
      <c r="A46" s="24" t="s">
        <v>45</v>
      </c>
      <c r="B46" s="24">
        <v>0</v>
      </c>
    </row>
    <row r="47" spans="1:2" x14ac:dyDescent="0.25">
      <c r="A47" s="24" t="s">
        <v>46</v>
      </c>
      <c r="B47" s="24">
        <v>0</v>
      </c>
    </row>
    <row r="48" spans="1:2" x14ac:dyDescent="0.25">
      <c r="A48" s="24" t="s">
        <v>47</v>
      </c>
      <c r="B48" s="24">
        <v>0.67775199868112546</v>
      </c>
    </row>
    <row r="49" spans="1:17" x14ac:dyDescent="0.25">
      <c r="A49" s="24" t="s">
        <v>48</v>
      </c>
      <c r="B49" s="24">
        <v>0.71458852419524543</v>
      </c>
    </row>
    <row r="50" spans="1:17" x14ac:dyDescent="0.25">
      <c r="A50" s="24" t="s">
        <v>49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</row>
    <row r="51" spans="1:17" x14ac:dyDescent="0.25">
      <c r="A51" s="24" t="s">
        <v>50</v>
      </c>
      <c r="B51" s="24" t="s">
        <v>39</v>
      </c>
      <c r="C51" s="24" t="s">
        <v>61</v>
      </c>
      <c r="D51" s="24" t="s">
        <v>25</v>
      </c>
      <c r="E51" s="24" t="s">
        <v>62</v>
      </c>
      <c r="F51" s="24" t="s">
        <v>4</v>
      </c>
      <c r="G51" s="24" t="s">
        <v>5</v>
      </c>
      <c r="H51" s="24" t="s">
        <v>6</v>
      </c>
      <c r="I51" s="24" t="s">
        <v>7</v>
      </c>
      <c r="J51" s="24" t="s">
        <v>8</v>
      </c>
      <c r="K51" s="24" t="s">
        <v>9</v>
      </c>
      <c r="L51" s="24" t="s">
        <v>10</v>
      </c>
      <c r="M51" s="24" t="s">
        <v>11</v>
      </c>
      <c r="N51" s="24" t="s">
        <v>12</v>
      </c>
      <c r="O51" s="24" t="s">
        <v>13</v>
      </c>
      <c r="P51" s="24" t="s">
        <v>14</v>
      </c>
      <c r="Q51" s="24" t="s">
        <v>15</v>
      </c>
    </row>
    <row r="52" spans="1:17" x14ac:dyDescent="0.25">
      <c r="A52" s="24" t="s">
        <v>51</v>
      </c>
      <c r="B52" s="24">
        <v>0</v>
      </c>
      <c r="C52" s="24">
        <v>0</v>
      </c>
      <c r="D52" s="24">
        <v>0</v>
      </c>
      <c r="E52" s="24">
        <v>0</v>
      </c>
      <c r="F52" s="24">
        <v>0</v>
      </c>
      <c r="G52" s="24">
        <v>0</v>
      </c>
      <c r="H52" s="24">
        <v>0</v>
      </c>
      <c r="I52" s="24">
        <v>0</v>
      </c>
      <c r="J52" s="24">
        <v>0</v>
      </c>
      <c r="K52" s="24">
        <v>0</v>
      </c>
      <c r="L52" s="24">
        <v>0</v>
      </c>
      <c r="M52" s="24">
        <v>0</v>
      </c>
      <c r="N52" s="24">
        <v>0</v>
      </c>
      <c r="O52" s="24">
        <v>0</v>
      </c>
      <c r="P52" s="24">
        <v>0</v>
      </c>
      <c r="Q52" s="24">
        <v>0</v>
      </c>
    </row>
    <row r="53" spans="1:17" x14ac:dyDescent="0.25">
      <c r="A53" s="24" t="s">
        <v>52</v>
      </c>
      <c r="B53" s="24">
        <v>5.2164840897235262E-2</v>
      </c>
      <c r="C53" s="24">
        <v>0.16704330558117961</v>
      </c>
      <c r="D53" s="24">
        <v>0.29604106294167948</v>
      </c>
      <c r="E53" s="24">
        <v>8.7640310947639424E-2</v>
      </c>
      <c r="F53" s="24">
        <v>2014.002566000001</v>
      </c>
      <c r="G53" s="24">
        <v>2014.002566000001</v>
      </c>
      <c r="H53" s="24">
        <v>2014.002566000001</v>
      </c>
      <c r="I53" s="24">
        <v>29.733722983</v>
      </c>
      <c r="J53" s="24">
        <v>29.733722983</v>
      </c>
      <c r="K53" s="24">
        <v>29.733722983</v>
      </c>
      <c r="L53" s="24">
        <v>25.319496984682029</v>
      </c>
      <c r="M53" s="24">
        <v>25.319496984682029</v>
      </c>
      <c r="N53" s="24">
        <v>25.319496984682029</v>
      </c>
      <c r="O53" s="24">
        <v>47.096311649999997</v>
      </c>
      <c r="P53" s="24">
        <v>47.096311649999997</v>
      </c>
      <c r="Q53" s="24">
        <v>47.096311649999997</v>
      </c>
    </row>
    <row r="54" spans="1:17" x14ac:dyDescent="0.25">
      <c r="A54" s="24" t="s">
        <v>53</v>
      </c>
      <c r="B54" s="24">
        <v>1.304121022430881</v>
      </c>
      <c r="C54" s="24">
        <v>0.26606450031329337</v>
      </c>
      <c r="D54" s="24">
        <v>0.32303418656569061</v>
      </c>
      <c r="E54" s="24">
        <v>0.1048092462361699</v>
      </c>
      <c r="F54" s="24">
        <v>150.27830259999999</v>
      </c>
      <c r="G54" s="24">
        <v>2726.1216680000011</v>
      </c>
      <c r="H54" s="24">
        <v>531.10226882800021</v>
      </c>
      <c r="I54" s="24">
        <v>8.5429977239999992</v>
      </c>
      <c r="J54" s="24">
        <v>28.661706365000001</v>
      </c>
      <c r="K54" s="24">
        <v>13.78935153674</v>
      </c>
      <c r="L54" s="24">
        <v>6.9162901469284286</v>
      </c>
      <c r="M54" s="24">
        <v>29.457621727903391</v>
      </c>
      <c r="N54" s="24">
        <v>12.21562478659804</v>
      </c>
      <c r="O54" s="24">
        <v>12.8347914</v>
      </c>
      <c r="P54" s="24">
        <v>64.408213380000007</v>
      </c>
      <c r="Q54" s="24">
        <v>24.952682428399999</v>
      </c>
    </row>
    <row r="55" spans="1:17" x14ac:dyDescent="0.25">
      <c r="A55" s="24" t="s">
        <v>54</v>
      </c>
      <c r="B55" s="24">
        <v>5.0078247261345856</v>
      </c>
      <c r="C55" s="24">
        <v>0.35823169928806919</v>
      </c>
      <c r="D55" s="24">
        <v>0.36333652758510943</v>
      </c>
      <c r="E55" s="24">
        <v>0.1326355520722273</v>
      </c>
      <c r="F55" s="24">
        <v>69.329076069999999</v>
      </c>
      <c r="G55" s="24">
        <v>1334.227537</v>
      </c>
      <c r="H55" s="24">
        <v>507.82862307604182</v>
      </c>
      <c r="I55" s="24">
        <v>5.6388796255000004</v>
      </c>
      <c r="J55" s="24">
        <v>23.009632145000001</v>
      </c>
      <c r="K55" s="24">
        <v>12.848010408234369</v>
      </c>
      <c r="L55" s="24">
        <v>4.697672861435656</v>
      </c>
      <c r="M55" s="24">
        <v>20.608197772870621</v>
      </c>
      <c r="N55" s="24">
        <v>12.12570544420204</v>
      </c>
      <c r="O55" s="24">
        <v>10.36057153</v>
      </c>
      <c r="P55" s="24">
        <v>49.410463340000007</v>
      </c>
      <c r="Q55" s="24">
        <v>27.625473541354172</v>
      </c>
    </row>
    <row r="56" spans="1:17" x14ac:dyDescent="0.25">
      <c r="A56" s="24" t="s">
        <v>55</v>
      </c>
      <c r="B56" s="24">
        <v>9.7026604068857587</v>
      </c>
      <c r="C56" s="24">
        <v>0.45087605710908868</v>
      </c>
      <c r="D56" s="24">
        <v>0.39066393738264249</v>
      </c>
      <c r="E56" s="24">
        <v>0.15306003078137101</v>
      </c>
      <c r="F56" s="24">
        <v>61.140770560000007</v>
      </c>
      <c r="G56" s="24">
        <v>2364.36022</v>
      </c>
      <c r="H56" s="24">
        <v>351.44724810930109</v>
      </c>
      <c r="I56" s="24">
        <v>4.7823667070000004</v>
      </c>
      <c r="J56" s="24">
        <v>25.753342570000001</v>
      </c>
      <c r="K56" s="24">
        <v>10.376347337473121</v>
      </c>
      <c r="L56" s="24">
        <v>4.4115430087604111</v>
      </c>
      <c r="M56" s="24">
        <v>27.433542106802079</v>
      </c>
      <c r="N56" s="24">
        <v>9.9102464339975302</v>
      </c>
      <c r="O56" s="24">
        <v>11.055241390000001</v>
      </c>
      <c r="P56" s="24">
        <v>57.789615670000003</v>
      </c>
      <c r="Q56" s="24">
        <v>24.183763348548389</v>
      </c>
    </row>
    <row r="57" spans="1:17" x14ac:dyDescent="0.25">
      <c r="A57" s="24" t="s">
        <v>56</v>
      </c>
      <c r="B57" s="24">
        <v>12.5717266562337</v>
      </c>
      <c r="C57" s="24">
        <v>0.55483119195770125</v>
      </c>
      <c r="D57" s="24">
        <v>0.41787140648530829</v>
      </c>
      <c r="E57" s="24">
        <v>0.17484400783002799</v>
      </c>
      <c r="F57" s="24">
        <v>53.132364880000011</v>
      </c>
      <c r="G57" s="24">
        <v>2624.742306000001</v>
      </c>
      <c r="H57" s="24">
        <v>298.09132330157678</v>
      </c>
      <c r="I57" s="24">
        <v>4.3018361780000012</v>
      </c>
      <c r="J57" s="24">
        <v>23.77621413</v>
      </c>
      <c r="K57" s="24">
        <v>9.4315537728796688</v>
      </c>
      <c r="L57" s="24">
        <v>4.1124879352562784</v>
      </c>
      <c r="M57" s="24">
        <v>28.90469554734387</v>
      </c>
      <c r="N57" s="24">
        <v>9.1211610155748009</v>
      </c>
      <c r="O57" s="24">
        <v>10.942523810000001</v>
      </c>
      <c r="P57" s="24">
        <v>68.364740580000003</v>
      </c>
      <c r="Q57" s="24">
        <v>23.856394636597511</v>
      </c>
    </row>
    <row r="58" spans="1:17" x14ac:dyDescent="0.25">
      <c r="A58" s="24" t="s">
        <v>57</v>
      </c>
      <c r="B58" s="24">
        <v>18.257694314032339</v>
      </c>
      <c r="C58" s="24">
        <v>0.65227571843554555</v>
      </c>
      <c r="D58" s="24">
        <v>0.44495551113841741</v>
      </c>
      <c r="E58" s="24">
        <v>0.19811344147924609</v>
      </c>
      <c r="F58" s="24">
        <v>36.298758770000013</v>
      </c>
      <c r="G58" s="24">
        <v>888.8168237000001</v>
      </c>
      <c r="H58" s="24">
        <v>212.63806630251429</v>
      </c>
      <c r="I58" s="24">
        <v>3.7203492985</v>
      </c>
      <c r="J58" s="24">
        <v>16.23924586</v>
      </c>
      <c r="K58" s="24">
        <v>8.0364699026942858</v>
      </c>
      <c r="L58" s="24">
        <v>3.399154861534198</v>
      </c>
      <c r="M58" s="24">
        <v>16.82020160373191</v>
      </c>
      <c r="N58" s="24">
        <v>7.810062412442381</v>
      </c>
      <c r="O58" s="24">
        <v>9.7401398650000015</v>
      </c>
      <c r="P58" s="24">
        <v>45.999912130000013</v>
      </c>
      <c r="Q58" s="24">
        <v>21.762581980557151</v>
      </c>
    </row>
    <row r="59" spans="1:17" x14ac:dyDescent="0.25">
      <c r="A59" s="24" t="s">
        <v>58</v>
      </c>
      <c r="B59" s="24">
        <v>27.856025039123629</v>
      </c>
      <c r="C59" s="24">
        <v>0.75398687551996446</v>
      </c>
      <c r="D59" s="24">
        <v>0.46884507187701208</v>
      </c>
      <c r="E59" s="24">
        <v>0.219921454991029</v>
      </c>
      <c r="F59" s="24">
        <v>33.503808710000008</v>
      </c>
      <c r="G59" s="24">
        <v>720.20025110000029</v>
      </c>
      <c r="H59" s="24">
        <v>167.0339673695506</v>
      </c>
      <c r="I59" s="24">
        <v>3.491936174500001</v>
      </c>
      <c r="J59" s="24">
        <v>14.79052371</v>
      </c>
      <c r="K59" s="24">
        <v>7.0802812603820229</v>
      </c>
      <c r="L59" s="24">
        <v>3.2656689264534449</v>
      </c>
      <c r="M59" s="24">
        <v>15.140900236022251</v>
      </c>
      <c r="N59" s="24">
        <v>6.9276151689617143</v>
      </c>
      <c r="O59" s="24">
        <v>9.7715222180000012</v>
      </c>
      <c r="P59" s="24">
        <v>43.746568819999993</v>
      </c>
      <c r="Q59" s="24">
        <v>20.33592453261798</v>
      </c>
    </row>
    <row r="60" spans="1:17" x14ac:dyDescent="0.25">
      <c r="A60" s="24" t="s">
        <v>59</v>
      </c>
      <c r="B60" s="24">
        <v>23.3698487219614</v>
      </c>
      <c r="C60" s="24">
        <v>0.84055350426579578</v>
      </c>
      <c r="D60" s="24">
        <v>0.48579101409739989</v>
      </c>
      <c r="E60" s="24">
        <v>0.23607033733166821</v>
      </c>
      <c r="F60" s="24">
        <v>28.617085830000001</v>
      </c>
      <c r="G60" s="24">
        <v>1257.669253</v>
      </c>
      <c r="H60" s="24">
        <v>148.4356741985938</v>
      </c>
      <c r="I60" s="24">
        <v>3.2615180184999999</v>
      </c>
      <c r="J60" s="24">
        <v>18.619499170000001</v>
      </c>
      <c r="K60" s="24">
        <v>6.6438568310725454</v>
      </c>
      <c r="L60" s="24">
        <v>3.0181287801316681</v>
      </c>
      <c r="M60" s="24">
        <v>20.008212233462618</v>
      </c>
      <c r="N60" s="24">
        <v>6.5336710580198076</v>
      </c>
      <c r="O60" s="24">
        <v>9.319288138000001</v>
      </c>
      <c r="P60" s="24">
        <v>52.873609629999997</v>
      </c>
      <c r="Q60" s="24">
        <v>19.86474141465402</v>
      </c>
    </row>
    <row r="61" spans="1:17" x14ac:dyDescent="0.25">
      <c r="A61" s="24" t="s">
        <v>60</v>
      </c>
      <c r="B61" s="24">
        <v>1.8779342723004691</v>
      </c>
      <c r="C61" s="24">
        <v>0.91585988198261425</v>
      </c>
      <c r="D61" s="24">
        <v>0.49743013577427297</v>
      </c>
      <c r="E61" s="24">
        <v>0.24749025224970481</v>
      </c>
      <c r="F61" s="24">
        <v>46.055633960000002</v>
      </c>
      <c r="G61" s="24">
        <v>362.11796199999998</v>
      </c>
      <c r="H61" s="24">
        <v>135.34463539833339</v>
      </c>
      <c r="I61" s="24">
        <v>3.9427375650000012</v>
      </c>
      <c r="J61" s="24">
        <v>10.61626278</v>
      </c>
      <c r="K61" s="24">
        <v>6.4276632424722244</v>
      </c>
      <c r="L61" s="24">
        <v>3.8288331909251321</v>
      </c>
      <c r="M61" s="24">
        <v>10.73618774376297</v>
      </c>
      <c r="N61" s="24">
        <v>6.3187512723021193</v>
      </c>
      <c r="O61" s="24">
        <v>12.33965274</v>
      </c>
      <c r="P61" s="24">
        <v>33.303928870000007</v>
      </c>
      <c r="Q61" s="24">
        <v>19.686992413611112</v>
      </c>
    </row>
    <row r="62" spans="1:17" x14ac:dyDescent="0.25">
      <c r="A62" s="24" t="s">
        <v>63</v>
      </c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</row>
    <row r="63" spans="1:17" x14ac:dyDescent="0.25">
      <c r="A63" s="24" t="s">
        <v>64</v>
      </c>
      <c r="B63" s="24">
        <v>10</v>
      </c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</row>
    <row r="64" spans="1:17" x14ac:dyDescent="0.25">
      <c r="A64" s="24" t="s">
        <v>65</v>
      </c>
      <c r="B64" s="24">
        <v>161.29</v>
      </c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</row>
    <row r="65" spans="1:17" x14ac:dyDescent="0.25">
      <c r="A65" s="24" t="s">
        <v>66</v>
      </c>
      <c r="B65" s="24">
        <v>77.93520612323718</v>
      </c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</row>
    <row r="66" spans="1:17" x14ac:dyDescent="0.25">
      <c r="A66" s="24" t="s">
        <v>67</v>
      </c>
      <c r="B66" s="24">
        <v>58.758064516129032</v>
      </c>
    </row>
    <row r="67" spans="1:17" x14ac:dyDescent="0.25">
      <c r="A67" s="24" t="s">
        <v>68</v>
      </c>
      <c r="B67" s="24">
        <v>744.14991476742773</v>
      </c>
    </row>
    <row r="68" spans="1:17" x14ac:dyDescent="0.25">
      <c r="A68" s="24" t="s">
        <v>69</v>
      </c>
      <c r="B68" s="24"/>
    </row>
    <row r="69" spans="1:17" x14ac:dyDescent="0.25">
      <c r="A69" s="24" t="s">
        <v>102</v>
      </c>
      <c r="B69" s="24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9"/>
  <sheetViews>
    <sheetView workbookViewId="0">
      <selection activeCell="A11" sqref="A11"/>
    </sheetView>
  </sheetViews>
  <sheetFormatPr defaultRowHeight="15" x14ac:dyDescent="0.25"/>
  <cols>
    <col min="1" max="1" width="75" bestFit="1" customWidth="1"/>
    <col min="2" max="2" width="12" bestFit="1" customWidth="1"/>
    <col min="3" max="3" width="16.85546875" bestFit="1" customWidth="1"/>
    <col min="4" max="4" width="13.28515625" bestFit="1" customWidth="1"/>
    <col min="5" max="5" width="21.42578125" bestFit="1" customWidth="1"/>
    <col min="6" max="6" width="26.5703125" bestFit="1" customWidth="1"/>
    <col min="7" max="7" width="30.28515625" bestFit="1" customWidth="1"/>
    <col min="8" max="8" width="26.28515625" bestFit="1" customWidth="1"/>
    <col min="9" max="9" width="28.85546875" bestFit="1" customWidth="1"/>
    <col min="10" max="10" width="32.5703125" bestFit="1" customWidth="1"/>
    <col min="11" max="11" width="28.5703125" bestFit="1" customWidth="1"/>
    <col min="12" max="12" width="26.140625" bestFit="1" customWidth="1"/>
    <col min="13" max="13" width="29.85546875" bestFit="1" customWidth="1"/>
    <col min="14" max="14" width="25.85546875" bestFit="1" customWidth="1"/>
    <col min="15" max="15" width="29.85546875" bestFit="1" customWidth="1"/>
    <col min="16" max="16" width="33.42578125" bestFit="1" customWidth="1"/>
    <col min="17" max="17" width="29.42578125" bestFit="1" customWidth="1"/>
  </cols>
  <sheetData>
    <row r="1" spans="1:2" x14ac:dyDescent="0.25">
      <c r="A1" t="s">
        <v>103</v>
      </c>
    </row>
    <row r="2" spans="1:2" x14ac:dyDescent="0.25">
      <c r="A2" s="25" t="s">
        <v>0</v>
      </c>
      <c r="B2" s="25"/>
    </row>
    <row r="3" spans="1:2" x14ac:dyDescent="0.25">
      <c r="A3" s="25" t="s">
        <v>1</v>
      </c>
      <c r="B3" s="25">
        <v>1.27</v>
      </c>
    </row>
    <row r="4" spans="1:2" x14ac:dyDescent="0.25">
      <c r="A4" s="25" t="s">
        <v>2</v>
      </c>
      <c r="B4" s="25">
        <v>2</v>
      </c>
    </row>
    <row r="5" spans="1:2" x14ac:dyDescent="0.25">
      <c r="A5" s="25" t="s">
        <v>3</v>
      </c>
      <c r="B5" s="25">
        <v>6.4516</v>
      </c>
    </row>
    <row r="6" spans="1:2" x14ac:dyDescent="0.25">
      <c r="A6" s="25" t="s">
        <v>4</v>
      </c>
      <c r="B6" s="25">
        <v>22.97866225000001</v>
      </c>
    </row>
    <row r="7" spans="1:2" x14ac:dyDescent="0.25">
      <c r="A7" s="25" t="s">
        <v>5</v>
      </c>
      <c r="B7" s="25">
        <v>21535.904210000001</v>
      </c>
    </row>
    <row r="8" spans="1:2" x14ac:dyDescent="0.25">
      <c r="A8" s="25" t="s">
        <v>6</v>
      </c>
      <c r="B8" s="25">
        <v>273.52995121316269</v>
      </c>
    </row>
    <row r="9" spans="1:2" x14ac:dyDescent="0.25">
      <c r="A9" s="25" t="s">
        <v>7</v>
      </c>
      <c r="B9" s="25">
        <v>5.4090055889981361</v>
      </c>
    </row>
    <row r="10" spans="1:2" x14ac:dyDescent="0.25">
      <c r="A10" s="25" t="s">
        <v>8</v>
      </c>
      <c r="B10" s="25">
        <v>165.59095649159249</v>
      </c>
    </row>
    <row r="11" spans="1:2" x14ac:dyDescent="0.25">
      <c r="A11" s="25" t="s">
        <v>9</v>
      </c>
      <c r="B11" s="25">
        <v>16.620004133627869</v>
      </c>
    </row>
    <row r="12" spans="1:2" x14ac:dyDescent="0.25">
      <c r="A12" s="25" t="s">
        <v>10</v>
      </c>
      <c r="B12" s="25">
        <v>2.7045027944990681</v>
      </c>
    </row>
    <row r="13" spans="1:2" x14ac:dyDescent="0.25">
      <c r="A13" s="25" t="s">
        <v>11</v>
      </c>
      <c r="B13" s="25">
        <v>82.795478245796247</v>
      </c>
    </row>
    <row r="14" spans="1:2" x14ac:dyDescent="0.25">
      <c r="A14" s="25" t="s">
        <v>12</v>
      </c>
      <c r="B14" s="25">
        <v>8.3100020668139365</v>
      </c>
    </row>
    <row r="15" spans="1:2" x14ac:dyDescent="0.25">
      <c r="A15" s="25" t="s">
        <v>13</v>
      </c>
      <c r="B15" s="25">
        <v>8.0343554649999991</v>
      </c>
    </row>
    <row r="16" spans="1:2" x14ac:dyDescent="0.25">
      <c r="A16" s="25" t="s">
        <v>14</v>
      </c>
      <c r="B16" s="25">
        <v>142.17296780000001</v>
      </c>
    </row>
    <row r="17" spans="1:3" x14ac:dyDescent="0.25">
      <c r="A17" s="25" t="s">
        <v>15</v>
      </c>
      <c r="B17" s="25">
        <v>20.747605126963219</v>
      </c>
    </row>
    <row r="18" spans="1:3" x14ac:dyDescent="0.25">
      <c r="A18" s="25" t="s">
        <v>16</v>
      </c>
      <c r="B18" s="25">
        <v>4.8025969596164382</v>
      </c>
      <c r="C18" s="43" t="s">
        <v>180</v>
      </c>
    </row>
    <row r="19" spans="1:3" x14ac:dyDescent="0.25">
      <c r="A19" s="25" t="s">
        <v>17</v>
      </c>
      <c r="B19" s="25">
        <v>2.022372679824441</v>
      </c>
      <c r="C19" s="43">
        <f>B19/B18</f>
        <v>0.42109981262844903</v>
      </c>
    </row>
    <row r="20" spans="1:3" x14ac:dyDescent="0.25">
      <c r="A20" s="25" t="s">
        <v>18</v>
      </c>
      <c r="B20" s="25">
        <v>2.7802242797918622</v>
      </c>
      <c r="C20" s="43">
        <f>B20/B18</f>
        <v>0.57890018737152282</v>
      </c>
    </row>
    <row r="21" spans="1:3" x14ac:dyDescent="0.25">
      <c r="A21" s="25" t="s">
        <v>19</v>
      </c>
      <c r="B21" s="25">
        <v>173.08715216017899</v>
      </c>
    </row>
    <row r="22" spans="1:3" x14ac:dyDescent="0.25">
      <c r="A22" s="25" t="s">
        <v>20</v>
      </c>
      <c r="B22" s="25">
        <v>983.12221066241284</v>
      </c>
    </row>
    <row r="23" spans="1:3" x14ac:dyDescent="0.25">
      <c r="A23" s="25" t="s">
        <v>21</v>
      </c>
      <c r="B23" s="25">
        <v>18.13615799948365</v>
      </c>
    </row>
    <row r="24" spans="1:3" x14ac:dyDescent="0.25">
      <c r="A24" s="25" t="s">
        <v>22</v>
      </c>
      <c r="B24" s="25">
        <v>39.196540093848981</v>
      </c>
    </row>
    <row r="25" spans="1:3" x14ac:dyDescent="0.25">
      <c r="A25" s="25" t="s">
        <v>23</v>
      </c>
      <c r="B25" s="25">
        <v>7.0773689007614138</v>
      </c>
    </row>
    <row r="26" spans="1:3" x14ac:dyDescent="0.25">
      <c r="A26" s="25" t="s">
        <v>24</v>
      </c>
      <c r="B26" s="25">
        <v>17.018112171450781</v>
      </c>
    </row>
    <row r="27" spans="1:3" x14ac:dyDescent="0.25">
      <c r="A27" s="25" t="s">
        <v>25</v>
      </c>
      <c r="B27" s="25">
        <v>0.40809659664654341</v>
      </c>
    </row>
    <row r="28" spans="1:3" x14ac:dyDescent="0.25">
      <c r="A28" s="25" t="s">
        <v>26</v>
      </c>
      <c r="B28" s="25">
        <v>0.41355264975106731</v>
      </c>
    </row>
    <row r="29" spans="1:3" x14ac:dyDescent="0.25">
      <c r="A29" s="25" t="s">
        <v>27</v>
      </c>
      <c r="B29" s="25">
        <v>0.36955154327669382</v>
      </c>
    </row>
    <row r="30" spans="1:3" x14ac:dyDescent="0.25">
      <c r="A30" s="25" t="s">
        <v>28</v>
      </c>
      <c r="B30" s="25">
        <v>0.16654283219449151</v>
      </c>
    </row>
    <row r="31" spans="1:3" x14ac:dyDescent="0.25">
      <c r="A31" s="25" t="s">
        <v>29</v>
      </c>
      <c r="B31" s="25">
        <v>0.17102579411612889</v>
      </c>
    </row>
    <row r="32" spans="1:3" x14ac:dyDescent="0.25">
      <c r="A32" s="25" t="s">
        <v>30</v>
      </c>
      <c r="B32" s="25">
        <v>0.13656834313818611</v>
      </c>
    </row>
    <row r="33" spans="1:2" x14ac:dyDescent="0.25">
      <c r="A33" s="25" t="s">
        <v>31</v>
      </c>
      <c r="B33" s="25">
        <v>0.15287723079370141</v>
      </c>
    </row>
    <row r="34" spans="1:2" x14ac:dyDescent="0.25">
      <c r="A34" s="25" t="s">
        <v>32</v>
      </c>
      <c r="B34" s="25">
        <v>0.16618870263628499</v>
      </c>
    </row>
    <row r="35" spans="1:2" x14ac:dyDescent="0.25">
      <c r="A35" s="25" t="s">
        <v>33</v>
      </c>
      <c r="B35" s="25">
        <v>5.8836468584443961E-2</v>
      </c>
    </row>
    <row r="36" spans="1:2" x14ac:dyDescent="0.25">
      <c r="A36" s="25" t="s">
        <v>34</v>
      </c>
      <c r="B36" s="25">
        <v>4860790.2784000002</v>
      </c>
    </row>
    <row r="37" spans="1:2" x14ac:dyDescent="0.25">
      <c r="A37" s="25" t="s">
        <v>35</v>
      </c>
      <c r="B37" s="25">
        <v>7.7124763948965436E-3</v>
      </c>
    </row>
    <row r="38" spans="1:2" x14ac:dyDescent="0.25">
      <c r="A38" s="25" t="s">
        <v>36</v>
      </c>
      <c r="B38" s="25">
        <v>1040.8031130229081</v>
      </c>
    </row>
    <row r="39" spans="1:2" x14ac:dyDescent="0.25">
      <c r="A39" s="25" t="s">
        <v>37</v>
      </c>
      <c r="B39" s="25">
        <v>416.32124520916318</v>
      </c>
    </row>
    <row r="40" spans="1:2" x14ac:dyDescent="0.25">
      <c r="A40" s="25" t="s">
        <v>38</v>
      </c>
      <c r="B40" s="25" t="s">
        <v>39</v>
      </c>
    </row>
    <row r="41" spans="1:2" x14ac:dyDescent="0.25">
      <c r="A41" s="25" t="s">
        <v>40</v>
      </c>
      <c r="B41" s="25">
        <v>0</v>
      </c>
    </row>
    <row r="42" spans="1:2" x14ac:dyDescent="0.25">
      <c r="A42" s="25" t="s">
        <v>41</v>
      </c>
      <c r="B42" s="25">
        <v>0</v>
      </c>
    </row>
    <row r="43" spans="1:2" x14ac:dyDescent="0.25">
      <c r="A43" s="25" t="s">
        <v>42</v>
      </c>
      <c r="B43" s="25">
        <v>9.5291754625163091E-3</v>
      </c>
    </row>
    <row r="44" spans="1:2" x14ac:dyDescent="0.25">
      <c r="A44" s="25" t="s">
        <v>43</v>
      </c>
      <c r="B44" s="25">
        <v>2.0128435043619262</v>
      </c>
    </row>
    <row r="45" spans="1:2" x14ac:dyDescent="0.25">
      <c r="A45" s="25" t="s">
        <v>44</v>
      </c>
      <c r="B45" s="25">
        <v>2.6534950001318549</v>
      </c>
    </row>
    <row r="46" spans="1:2" x14ac:dyDescent="0.25">
      <c r="A46" s="25" t="s">
        <v>45</v>
      </c>
      <c r="B46" s="25">
        <v>0.12672927966014139</v>
      </c>
    </row>
    <row r="47" spans="1:2" x14ac:dyDescent="0.25">
      <c r="A47" s="25" t="s">
        <v>46</v>
      </c>
      <c r="B47" s="25">
        <v>0</v>
      </c>
    </row>
    <row r="48" spans="1:2" x14ac:dyDescent="0.25">
      <c r="A48" s="25" t="s">
        <v>47</v>
      </c>
      <c r="B48" s="25">
        <v>0.55193586873998102</v>
      </c>
    </row>
    <row r="49" spans="1:17" x14ac:dyDescent="0.25">
      <c r="A49" s="25" t="s">
        <v>48</v>
      </c>
      <c r="B49" s="25">
        <v>0.5480117431643835</v>
      </c>
    </row>
    <row r="50" spans="1:17" x14ac:dyDescent="0.25">
      <c r="A50" s="25" t="s">
        <v>49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</row>
    <row r="51" spans="1:17" x14ac:dyDescent="0.25">
      <c r="A51" s="25" t="s">
        <v>50</v>
      </c>
      <c r="B51" s="25" t="s">
        <v>39</v>
      </c>
      <c r="C51" s="25" t="s">
        <v>61</v>
      </c>
      <c r="D51" s="25" t="s">
        <v>25</v>
      </c>
      <c r="E51" s="25" t="s">
        <v>62</v>
      </c>
      <c r="F51" s="25" t="s">
        <v>4</v>
      </c>
      <c r="G51" s="25" t="s">
        <v>5</v>
      </c>
      <c r="H51" s="25" t="s">
        <v>6</v>
      </c>
      <c r="I51" s="25" t="s">
        <v>7</v>
      </c>
      <c r="J51" s="25" t="s">
        <v>8</v>
      </c>
      <c r="K51" s="25" t="s">
        <v>9</v>
      </c>
      <c r="L51" s="25" t="s">
        <v>10</v>
      </c>
      <c r="M51" s="25" t="s">
        <v>11</v>
      </c>
      <c r="N51" s="25" t="s">
        <v>12</v>
      </c>
      <c r="O51" s="25" t="s">
        <v>13</v>
      </c>
      <c r="P51" s="25" t="s">
        <v>14</v>
      </c>
      <c r="Q51" s="25" t="s">
        <v>15</v>
      </c>
    </row>
    <row r="52" spans="1:17" x14ac:dyDescent="0.25">
      <c r="A52" s="25" t="s">
        <v>51</v>
      </c>
      <c r="B52" s="25">
        <v>2.1818229421591471E-4</v>
      </c>
      <c r="C52" s="25">
        <v>9.0578461864536566E-2</v>
      </c>
      <c r="D52" s="25">
        <v>0.19139929053747429</v>
      </c>
      <c r="E52" s="25">
        <v>3.6704138113442759E-2</v>
      </c>
      <c r="F52" s="25">
        <v>283.28250030000009</v>
      </c>
      <c r="G52" s="25">
        <v>598.18376490000003</v>
      </c>
      <c r="H52" s="25">
        <v>434.57719029999998</v>
      </c>
      <c r="I52" s="25">
        <v>16.619560286999999</v>
      </c>
      <c r="J52" s="25">
        <v>23.556430679000009</v>
      </c>
      <c r="K52" s="25">
        <v>19.671070674833341</v>
      </c>
      <c r="L52" s="25">
        <v>9.4958738633341522</v>
      </c>
      <c r="M52" s="25">
        <v>13.798833505855139</v>
      </c>
      <c r="N52" s="25">
        <v>11.62943090825085</v>
      </c>
      <c r="O52" s="25">
        <v>12.113769420000001</v>
      </c>
      <c r="P52" s="25">
        <v>16.267513449999999</v>
      </c>
      <c r="Q52" s="25">
        <v>13.91699783</v>
      </c>
    </row>
    <row r="53" spans="1:17" x14ac:dyDescent="0.25">
      <c r="A53" s="25" t="s">
        <v>52</v>
      </c>
      <c r="B53" s="25">
        <v>9.185474586490007E-2</v>
      </c>
      <c r="C53" s="25">
        <v>0.17712526817902871</v>
      </c>
      <c r="D53" s="25">
        <v>0.26515490217760562</v>
      </c>
      <c r="E53" s="25">
        <v>7.1237319790034712E-2</v>
      </c>
      <c r="F53" s="25">
        <v>83.645867130000028</v>
      </c>
      <c r="G53" s="25">
        <v>4659.9025450000008</v>
      </c>
      <c r="H53" s="25">
        <v>316.7228670209027</v>
      </c>
      <c r="I53" s="25">
        <v>7.3951608215000002</v>
      </c>
      <c r="J53" s="25">
        <v>35.945482070000011</v>
      </c>
      <c r="K53" s="25">
        <v>11.708163281858271</v>
      </c>
      <c r="L53" s="25">
        <v>5.1599715547563623</v>
      </c>
      <c r="M53" s="25">
        <v>38.513543705124142</v>
      </c>
      <c r="N53" s="25">
        <v>9.1702961136791394</v>
      </c>
      <c r="O53" s="25">
        <v>8.5924011060000005</v>
      </c>
      <c r="P53" s="25">
        <v>79.41744525</v>
      </c>
      <c r="Q53" s="25">
        <v>15.66891039169913</v>
      </c>
    </row>
    <row r="54" spans="1:17" x14ac:dyDescent="0.25">
      <c r="A54" s="25" t="s">
        <v>53</v>
      </c>
      <c r="B54" s="25">
        <v>1.6693854604773679</v>
      </c>
      <c r="C54" s="25">
        <v>0.26778352813639389</v>
      </c>
      <c r="D54" s="25">
        <v>0.31430609606516241</v>
      </c>
      <c r="E54" s="25">
        <v>9.9501522768266903E-2</v>
      </c>
      <c r="F54" s="25">
        <v>56.957150630000008</v>
      </c>
      <c r="G54" s="25">
        <v>13077.523139999999</v>
      </c>
      <c r="H54" s="25">
        <v>378.3965124249425</v>
      </c>
      <c r="I54" s="25">
        <v>5.3445137045000006</v>
      </c>
      <c r="J54" s="25">
        <v>54.35685234000001</v>
      </c>
      <c r="K54" s="25">
        <v>10.739605855279519</v>
      </c>
      <c r="L54" s="25">
        <v>4.2579366052570959</v>
      </c>
      <c r="M54" s="25">
        <v>64.519027443532423</v>
      </c>
      <c r="N54" s="25">
        <v>9.7993268910641831</v>
      </c>
      <c r="O54" s="25">
        <v>8.3056177550000019</v>
      </c>
      <c r="P54" s="25">
        <v>117.65763800000001</v>
      </c>
      <c r="Q54" s="25">
        <v>19.622256731898801</v>
      </c>
    </row>
    <row r="55" spans="1:17" x14ac:dyDescent="0.25">
      <c r="A55" s="25" t="s">
        <v>54</v>
      </c>
      <c r="B55" s="25">
        <v>9.5768936223133583</v>
      </c>
      <c r="C55" s="25">
        <v>0.36125668147366191</v>
      </c>
      <c r="D55" s="25">
        <v>0.35079501633766802</v>
      </c>
      <c r="E55" s="25">
        <v>0.1235705387514565</v>
      </c>
      <c r="F55" s="25">
        <v>46.350339550000008</v>
      </c>
      <c r="G55" s="25">
        <v>17452.572270000001</v>
      </c>
      <c r="H55" s="25">
        <v>382.15698776853333</v>
      </c>
      <c r="I55" s="25">
        <v>4.3152117414999998</v>
      </c>
      <c r="J55" s="25">
        <v>53.524754135000002</v>
      </c>
      <c r="K55" s="25">
        <v>10.26855737406829</v>
      </c>
      <c r="L55" s="25">
        <v>3.8410638248720308</v>
      </c>
      <c r="M55" s="25">
        <v>74.534061293331405</v>
      </c>
      <c r="N55" s="25">
        <v>10.007721877772729</v>
      </c>
      <c r="O55" s="25">
        <v>8.460312527000001</v>
      </c>
      <c r="P55" s="25">
        <v>142.17296780000001</v>
      </c>
      <c r="Q55" s="25">
        <v>21.99536541024581</v>
      </c>
    </row>
    <row r="56" spans="1:17" x14ac:dyDescent="0.25">
      <c r="A56" s="25" t="s">
        <v>55</v>
      </c>
      <c r="B56" s="25">
        <v>24.144707224815761</v>
      </c>
      <c r="C56" s="25">
        <v>0.45449956660231627</v>
      </c>
      <c r="D56" s="25">
        <v>0.38070617337251889</v>
      </c>
      <c r="E56" s="25">
        <v>0.14538547133275009</v>
      </c>
      <c r="F56" s="25">
        <v>34.28865055</v>
      </c>
      <c r="G56" s="25">
        <v>21535.904210000001</v>
      </c>
      <c r="H56" s="25">
        <v>339.94500866850518</v>
      </c>
      <c r="I56" s="25">
        <v>3.951611519000001</v>
      </c>
      <c r="J56" s="25">
        <v>54.282978070000013</v>
      </c>
      <c r="K56" s="25">
        <v>9.3733755940184977</v>
      </c>
      <c r="L56" s="25">
        <v>3.3036973914034968</v>
      </c>
      <c r="M56" s="25">
        <v>82.795478245796247</v>
      </c>
      <c r="N56" s="25">
        <v>9.4354698806391504</v>
      </c>
      <c r="O56" s="25">
        <v>8.0343554649999991</v>
      </c>
      <c r="P56" s="25">
        <v>130.8494484</v>
      </c>
      <c r="Q56" s="25">
        <v>22.308457753486881</v>
      </c>
    </row>
    <row r="57" spans="1:17" x14ac:dyDescent="0.25">
      <c r="A57" s="25" t="s">
        <v>56</v>
      </c>
      <c r="B57" s="25">
        <v>29.472282484979971</v>
      </c>
      <c r="C57" s="25">
        <v>0.54917380293085349</v>
      </c>
      <c r="D57" s="25">
        <v>0.40873242823123851</v>
      </c>
      <c r="E57" s="25">
        <v>0.16752164328602789</v>
      </c>
      <c r="F57" s="25">
        <v>32.932007840000011</v>
      </c>
      <c r="G57" s="25">
        <v>15684.520420000001</v>
      </c>
      <c r="H57" s="25">
        <v>278.69002445462729</v>
      </c>
      <c r="I57" s="25">
        <v>3.5109420375000009</v>
      </c>
      <c r="J57" s="25">
        <v>48.665079089999999</v>
      </c>
      <c r="K57" s="25">
        <v>8.2659402311600036</v>
      </c>
      <c r="L57" s="25">
        <v>3.2376818354115811</v>
      </c>
      <c r="M57" s="25">
        <v>70.657893470846844</v>
      </c>
      <c r="N57" s="25">
        <v>8.4438308370836204</v>
      </c>
      <c r="O57" s="25">
        <v>8.5057294590000012</v>
      </c>
      <c r="P57" s="25">
        <v>130.333707</v>
      </c>
      <c r="Q57" s="25">
        <v>21.314486734025181</v>
      </c>
    </row>
    <row r="58" spans="1:17" x14ac:dyDescent="0.25">
      <c r="A58" s="25" t="s">
        <v>57</v>
      </c>
      <c r="B58" s="25">
        <v>22.010011658207251</v>
      </c>
      <c r="C58" s="25">
        <v>0.64585860653713922</v>
      </c>
      <c r="D58" s="25">
        <v>0.43619654286713461</v>
      </c>
      <c r="E58" s="25">
        <v>0.19071817254822451</v>
      </c>
      <c r="F58" s="25">
        <v>26.100345050000001</v>
      </c>
      <c r="G58" s="25">
        <v>16843.574960000002</v>
      </c>
      <c r="H58" s="25">
        <v>211.96231601690161</v>
      </c>
      <c r="I58" s="25">
        <v>3.0696329535000002</v>
      </c>
      <c r="J58" s="25">
        <v>46.339848744999998</v>
      </c>
      <c r="K58" s="25">
        <v>7.1594780123955326</v>
      </c>
      <c r="L58" s="25">
        <v>2.882359773210688</v>
      </c>
      <c r="M58" s="25">
        <v>73.222103414513754</v>
      </c>
      <c r="N58" s="25">
        <v>7.3164302581196328</v>
      </c>
      <c r="O58" s="25">
        <v>8.6754371390000014</v>
      </c>
      <c r="P58" s="25">
        <v>134.4685613</v>
      </c>
      <c r="Q58" s="25">
        <v>19.668829872362881</v>
      </c>
    </row>
    <row r="59" spans="1:17" x14ac:dyDescent="0.25">
      <c r="A59" s="25" t="s">
        <v>58</v>
      </c>
      <c r="B59" s="25">
        <v>10.562932137306481</v>
      </c>
      <c r="C59" s="25">
        <v>0.74116796145058506</v>
      </c>
      <c r="D59" s="25">
        <v>0.46099063418896302</v>
      </c>
      <c r="E59" s="25">
        <v>0.21289830108811669</v>
      </c>
      <c r="F59" s="25">
        <v>25.7736123</v>
      </c>
      <c r="G59" s="25">
        <v>13856.821840000001</v>
      </c>
      <c r="H59" s="25">
        <v>156.73578689872679</v>
      </c>
      <c r="I59" s="25">
        <v>3.0420810755000001</v>
      </c>
      <c r="J59" s="25">
        <v>43.247743065000009</v>
      </c>
      <c r="K59" s="25">
        <v>6.2243210976674073</v>
      </c>
      <c r="L59" s="25">
        <v>2.86426178931992</v>
      </c>
      <c r="M59" s="25">
        <v>66.413578301123536</v>
      </c>
      <c r="N59" s="25">
        <v>6.3078066459513984</v>
      </c>
      <c r="O59" s="25">
        <v>8.8879541620000015</v>
      </c>
      <c r="P59" s="25">
        <v>128.37030429999999</v>
      </c>
      <c r="Q59" s="25">
        <v>17.944008630191611</v>
      </c>
    </row>
    <row r="60" spans="1:17" x14ac:dyDescent="0.25">
      <c r="A60" s="25" t="s">
        <v>59</v>
      </c>
      <c r="B60" s="25">
        <v>2.3660415259087841</v>
      </c>
      <c r="C60" s="25">
        <v>0.8323149121871678</v>
      </c>
      <c r="D60" s="25">
        <v>0.4817447252351314</v>
      </c>
      <c r="E60" s="25">
        <v>0.2323799110557003</v>
      </c>
      <c r="F60" s="25">
        <v>22.97866225000001</v>
      </c>
      <c r="G60" s="25">
        <v>7560.2836370000014</v>
      </c>
      <c r="H60" s="25">
        <v>118.14379669788531</v>
      </c>
      <c r="I60" s="25">
        <v>2.7823241749999998</v>
      </c>
      <c r="J60" s="25">
        <v>37.310708939999998</v>
      </c>
      <c r="K60" s="25">
        <v>5.5123858725591717</v>
      </c>
      <c r="L60" s="25">
        <v>2.7045027944990681</v>
      </c>
      <c r="M60" s="25">
        <v>49.056223091577742</v>
      </c>
      <c r="N60" s="25">
        <v>5.5286516396436136</v>
      </c>
      <c r="O60" s="25">
        <v>8.7632440590000016</v>
      </c>
      <c r="P60" s="25">
        <v>112.6219541</v>
      </c>
      <c r="Q60" s="25">
        <v>16.480589891087821</v>
      </c>
    </row>
    <row r="61" spans="1:17" x14ac:dyDescent="0.25">
      <c r="A61" s="25" t="s">
        <v>60</v>
      </c>
      <c r="B61" s="25">
        <v>0.105672957831908</v>
      </c>
      <c r="C61" s="25">
        <v>0.9257635391753074</v>
      </c>
      <c r="D61" s="25">
        <v>0.49955167555890068</v>
      </c>
      <c r="E61" s="25">
        <v>0.24983804628046269</v>
      </c>
      <c r="F61" s="25">
        <v>25.82213577000001</v>
      </c>
      <c r="G61" s="25">
        <v>4285.191057</v>
      </c>
      <c r="H61" s="25">
        <v>97.677414744335877</v>
      </c>
      <c r="I61" s="25">
        <v>3.0141870074999999</v>
      </c>
      <c r="J61" s="25">
        <v>29.14906903</v>
      </c>
      <c r="K61" s="25">
        <v>5.0707559484924296</v>
      </c>
      <c r="L61" s="25">
        <v>2.8669567659752202</v>
      </c>
      <c r="M61" s="25">
        <v>36.932623486958903</v>
      </c>
      <c r="N61" s="25">
        <v>5.0466914105037439</v>
      </c>
      <c r="O61" s="25">
        <v>9.4693477589999997</v>
      </c>
      <c r="P61" s="25">
        <v>89.624024090000006</v>
      </c>
      <c r="Q61" s="25">
        <v>15.61224626830351</v>
      </c>
    </row>
    <row r="62" spans="1:17" x14ac:dyDescent="0.25">
      <c r="A62" s="25" t="s">
        <v>63</v>
      </c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</row>
    <row r="63" spans="1:17" x14ac:dyDescent="0.25">
      <c r="A63" s="25" t="s">
        <v>64</v>
      </c>
      <c r="B63" s="25">
        <v>10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</row>
    <row r="64" spans="1:17" x14ac:dyDescent="0.25">
      <c r="A64" s="25" t="s">
        <v>65</v>
      </c>
      <c r="B64" s="25">
        <v>161.29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</row>
    <row r="65" spans="1:17" x14ac:dyDescent="0.25">
      <c r="A65" s="25" t="s">
        <v>66</v>
      </c>
      <c r="B65" s="25">
        <v>59.180860774909647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</row>
    <row r="66" spans="1:17" x14ac:dyDescent="0.25">
      <c r="A66" s="25" t="s">
        <v>67</v>
      </c>
      <c r="B66" s="25">
        <v>63.067197835237529</v>
      </c>
    </row>
    <row r="67" spans="1:17" x14ac:dyDescent="0.25">
      <c r="A67" s="25" t="s">
        <v>68</v>
      </c>
      <c r="B67" s="25">
        <v>841.7787930932642</v>
      </c>
    </row>
    <row r="68" spans="1:17" x14ac:dyDescent="0.25">
      <c r="A68" s="25" t="s">
        <v>69</v>
      </c>
      <c r="B68" s="25"/>
    </row>
    <row r="69" spans="1:17" x14ac:dyDescent="0.25">
      <c r="A69" s="25" t="s">
        <v>104</v>
      </c>
      <c r="B69" s="25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9"/>
  <sheetViews>
    <sheetView workbookViewId="0">
      <selection activeCell="C18" sqref="C18:C20"/>
    </sheetView>
  </sheetViews>
  <sheetFormatPr defaultRowHeight="15" x14ac:dyDescent="0.25"/>
  <cols>
    <col min="1" max="1" width="75" bestFit="1" customWidth="1"/>
    <col min="2" max="2" width="12" bestFit="1" customWidth="1"/>
    <col min="3" max="3" width="16.85546875" bestFit="1" customWidth="1"/>
    <col min="4" max="4" width="13.28515625" bestFit="1" customWidth="1"/>
    <col min="5" max="5" width="21.42578125" bestFit="1" customWidth="1"/>
    <col min="6" max="6" width="26.5703125" bestFit="1" customWidth="1"/>
    <col min="7" max="7" width="30.28515625" bestFit="1" customWidth="1"/>
    <col min="8" max="8" width="26.28515625" bestFit="1" customWidth="1"/>
    <col min="9" max="9" width="28.85546875" bestFit="1" customWidth="1"/>
    <col min="10" max="10" width="32.5703125" bestFit="1" customWidth="1"/>
    <col min="11" max="11" width="28.5703125" bestFit="1" customWidth="1"/>
    <col min="12" max="12" width="26.140625" bestFit="1" customWidth="1"/>
    <col min="13" max="13" width="29.85546875" bestFit="1" customWidth="1"/>
    <col min="14" max="14" width="25.85546875" bestFit="1" customWidth="1"/>
    <col min="15" max="15" width="29.85546875" bestFit="1" customWidth="1"/>
    <col min="16" max="16" width="33.42578125" bestFit="1" customWidth="1"/>
    <col min="17" max="17" width="29.42578125" bestFit="1" customWidth="1"/>
  </cols>
  <sheetData>
    <row r="1" spans="1:2" x14ac:dyDescent="0.25">
      <c r="A1" t="s">
        <v>105</v>
      </c>
    </row>
    <row r="2" spans="1:2" x14ac:dyDescent="0.25">
      <c r="A2" s="26" t="s">
        <v>0</v>
      </c>
      <c r="B2" s="26"/>
    </row>
    <row r="3" spans="1:2" x14ac:dyDescent="0.25">
      <c r="A3" s="26" t="s">
        <v>1</v>
      </c>
      <c r="B3" s="26">
        <v>1.27</v>
      </c>
    </row>
    <row r="4" spans="1:2" x14ac:dyDescent="0.25">
      <c r="A4" s="26" t="s">
        <v>2</v>
      </c>
      <c r="B4" s="26">
        <v>2</v>
      </c>
    </row>
    <row r="5" spans="1:2" x14ac:dyDescent="0.25">
      <c r="A5" s="26" t="s">
        <v>3</v>
      </c>
      <c r="B5" s="26">
        <v>6.4516</v>
      </c>
    </row>
    <row r="6" spans="1:2" x14ac:dyDescent="0.25">
      <c r="A6" s="26" t="s">
        <v>4</v>
      </c>
      <c r="B6" s="26">
        <v>25.82213577000001</v>
      </c>
    </row>
    <row r="7" spans="1:2" x14ac:dyDescent="0.25">
      <c r="A7" s="26" t="s">
        <v>5</v>
      </c>
      <c r="B7" s="26">
        <v>47268.675349999998</v>
      </c>
    </row>
    <row r="8" spans="1:2" x14ac:dyDescent="0.25">
      <c r="A8" s="26" t="s">
        <v>6</v>
      </c>
      <c r="B8" s="26">
        <v>378.29285884035642</v>
      </c>
    </row>
    <row r="9" spans="1:2" x14ac:dyDescent="0.25">
      <c r="A9" s="26" t="s">
        <v>7</v>
      </c>
      <c r="B9" s="26">
        <v>5.7339135319504404</v>
      </c>
    </row>
    <row r="10" spans="1:2" x14ac:dyDescent="0.25">
      <c r="A10" s="26" t="s">
        <v>8</v>
      </c>
      <c r="B10" s="26">
        <v>245.3249817749269</v>
      </c>
    </row>
    <row r="11" spans="1:2" x14ac:dyDescent="0.25">
      <c r="A11" s="26" t="s">
        <v>9</v>
      </c>
      <c r="B11" s="26">
        <v>19.52711682013382</v>
      </c>
    </row>
    <row r="12" spans="1:2" x14ac:dyDescent="0.25">
      <c r="A12" s="26" t="s">
        <v>10</v>
      </c>
      <c r="B12" s="26">
        <v>2.8669567659752202</v>
      </c>
    </row>
    <row r="13" spans="1:2" x14ac:dyDescent="0.25">
      <c r="A13" s="26" t="s">
        <v>11</v>
      </c>
      <c r="B13" s="26">
        <v>122.66249088746341</v>
      </c>
    </row>
    <row r="14" spans="1:2" x14ac:dyDescent="0.25">
      <c r="A14" s="26" t="s">
        <v>12</v>
      </c>
      <c r="B14" s="26">
        <v>9.7635584100669082</v>
      </c>
    </row>
    <row r="15" spans="1:2" x14ac:dyDescent="0.25">
      <c r="A15" s="26" t="s">
        <v>13</v>
      </c>
      <c r="B15" s="26">
        <v>8.472107609</v>
      </c>
    </row>
    <row r="16" spans="1:2" x14ac:dyDescent="0.25">
      <c r="A16" s="26" t="s">
        <v>14</v>
      </c>
      <c r="B16" s="26">
        <v>246.49088720000009</v>
      </c>
    </row>
    <row r="17" spans="1:3" x14ac:dyDescent="0.25">
      <c r="A17" s="26" t="s">
        <v>15</v>
      </c>
      <c r="B17" s="26">
        <v>25.00443744134898</v>
      </c>
    </row>
    <row r="18" spans="1:3" x14ac:dyDescent="0.25">
      <c r="A18" s="26" t="s">
        <v>16</v>
      </c>
      <c r="B18" s="26">
        <v>2.3570546102533951</v>
      </c>
      <c r="C18" s="43" t="s">
        <v>180</v>
      </c>
    </row>
    <row r="19" spans="1:3" x14ac:dyDescent="0.25">
      <c r="A19" s="26" t="s">
        <v>17</v>
      </c>
      <c r="B19" s="26">
        <v>0.71352988440459342</v>
      </c>
      <c r="C19" s="43">
        <f>B19/B18</f>
        <v>0.30272098121981372</v>
      </c>
    </row>
    <row r="20" spans="1:3" x14ac:dyDescent="0.25">
      <c r="A20" s="26" t="s">
        <v>18</v>
      </c>
      <c r="B20" s="26">
        <v>1.643524725848736</v>
      </c>
      <c r="C20" s="43">
        <f>B20/B18</f>
        <v>0.69727901878015841</v>
      </c>
    </row>
    <row r="21" spans="1:3" x14ac:dyDescent="0.25">
      <c r="A21" s="26" t="s">
        <v>19</v>
      </c>
      <c r="B21" s="26">
        <v>206.52639508813959</v>
      </c>
    </row>
    <row r="22" spans="1:3" x14ac:dyDescent="0.25">
      <c r="A22" s="26" t="s">
        <v>20</v>
      </c>
      <c r="B22" s="26">
        <v>1006.014686180982</v>
      </c>
    </row>
    <row r="23" spans="1:3" x14ac:dyDescent="0.25">
      <c r="A23" s="26" t="s">
        <v>21</v>
      </c>
      <c r="B23" s="26">
        <v>20.62037007244092</v>
      </c>
    </row>
    <row r="24" spans="1:3" x14ac:dyDescent="0.25">
      <c r="A24" s="26" t="s">
        <v>22</v>
      </c>
      <c r="B24" s="26">
        <v>41.026044452862422</v>
      </c>
    </row>
    <row r="25" spans="1:3" x14ac:dyDescent="0.25">
      <c r="A25" s="26" t="s">
        <v>23</v>
      </c>
      <c r="B25" s="26">
        <v>7.7432587897523852</v>
      </c>
    </row>
    <row r="26" spans="1:3" x14ac:dyDescent="0.25">
      <c r="A26" s="26" t="s">
        <v>24</v>
      </c>
      <c r="B26" s="26">
        <v>17.14675849311012</v>
      </c>
    </row>
    <row r="27" spans="1:3" x14ac:dyDescent="0.25">
      <c r="A27" s="26" t="s">
        <v>25</v>
      </c>
      <c r="B27" s="26">
        <v>0.41953408538870368</v>
      </c>
    </row>
    <row r="28" spans="1:3" x14ac:dyDescent="0.25">
      <c r="A28" s="26" t="s">
        <v>26</v>
      </c>
      <c r="B28" s="26">
        <v>0.42926940835604382</v>
      </c>
    </row>
    <row r="29" spans="1:3" x14ac:dyDescent="0.25">
      <c r="A29" s="26" t="s">
        <v>27</v>
      </c>
      <c r="B29" s="26">
        <v>0.38395627474211802</v>
      </c>
    </row>
    <row r="30" spans="1:3" x14ac:dyDescent="0.25">
      <c r="A30" s="26" t="s">
        <v>28</v>
      </c>
      <c r="B30" s="26">
        <v>0.1760088488029361</v>
      </c>
    </row>
    <row r="31" spans="1:3" x14ac:dyDescent="0.25">
      <c r="A31" s="26" t="s">
        <v>29</v>
      </c>
      <c r="B31" s="26">
        <v>0.1842722249503479</v>
      </c>
    </row>
    <row r="32" spans="1:3" x14ac:dyDescent="0.25">
      <c r="A32" s="26" t="s">
        <v>30</v>
      </c>
      <c r="B32" s="26">
        <v>0.1474224209138448</v>
      </c>
    </row>
    <row r="33" spans="1:2" x14ac:dyDescent="0.25">
      <c r="A33" s="26" t="s">
        <v>31</v>
      </c>
      <c r="B33" s="26">
        <v>0.13789612687564509</v>
      </c>
    </row>
    <row r="34" spans="1:2" x14ac:dyDescent="0.25">
      <c r="A34" s="26" t="s">
        <v>32</v>
      </c>
      <c r="B34" s="26">
        <v>0.15900715880815311</v>
      </c>
    </row>
    <row r="35" spans="1:2" x14ac:dyDescent="0.25">
      <c r="A35" s="26" t="s">
        <v>33</v>
      </c>
      <c r="B35" s="26">
        <v>6.0745702676211613E-2</v>
      </c>
    </row>
    <row r="36" spans="1:2" x14ac:dyDescent="0.25">
      <c r="A36" s="26" t="s">
        <v>34</v>
      </c>
      <c r="B36" s="26">
        <v>4754972.7481000004</v>
      </c>
    </row>
    <row r="37" spans="1:2" x14ac:dyDescent="0.25">
      <c r="A37" s="26" t="s">
        <v>35</v>
      </c>
      <c r="B37" s="26">
        <v>3.328747410178569E-3</v>
      </c>
    </row>
    <row r="38" spans="1:2" x14ac:dyDescent="0.25">
      <c r="A38" s="26" t="s">
        <v>36</v>
      </c>
      <c r="B38" s="26">
        <v>627.83216833603387</v>
      </c>
    </row>
    <row r="39" spans="1:2" x14ac:dyDescent="0.25">
      <c r="A39" s="26" t="s">
        <v>37</v>
      </c>
      <c r="B39" s="26">
        <v>251.13286733441359</v>
      </c>
    </row>
    <row r="40" spans="1:2" x14ac:dyDescent="0.25">
      <c r="A40" s="26" t="s">
        <v>38</v>
      </c>
      <c r="B40" s="26" t="s">
        <v>39</v>
      </c>
    </row>
    <row r="41" spans="1:2" x14ac:dyDescent="0.25">
      <c r="A41" s="26" t="s">
        <v>40</v>
      </c>
      <c r="B41" s="26">
        <v>0</v>
      </c>
    </row>
    <row r="42" spans="1:2" x14ac:dyDescent="0.25">
      <c r="A42" s="26" t="s">
        <v>41</v>
      </c>
      <c r="B42" s="26">
        <v>0</v>
      </c>
    </row>
    <row r="43" spans="1:2" x14ac:dyDescent="0.25">
      <c r="A43" s="26" t="s">
        <v>42</v>
      </c>
      <c r="B43" s="26">
        <v>2.2336620004848691E-3</v>
      </c>
    </row>
    <row r="44" spans="1:2" x14ac:dyDescent="0.25">
      <c r="A44" s="26" t="s">
        <v>43</v>
      </c>
      <c r="B44" s="26">
        <v>0.71129622240410839</v>
      </c>
    </row>
    <row r="45" spans="1:2" x14ac:dyDescent="0.25">
      <c r="A45" s="26" t="s">
        <v>44</v>
      </c>
      <c r="B45" s="26">
        <v>1.4905401440153121</v>
      </c>
    </row>
    <row r="46" spans="1:2" x14ac:dyDescent="0.25">
      <c r="A46" s="26" t="s">
        <v>45</v>
      </c>
      <c r="B46" s="26">
        <v>0.1529845818334902</v>
      </c>
    </row>
    <row r="47" spans="1:2" x14ac:dyDescent="0.25">
      <c r="A47" s="26" t="s">
        <v>46</v>
      </c>
      <c r="B47" s="26">
        <v>0</v>
      </c>
    </row>
    <row r="48" spans="1:2" x14ac:dyDescent="0.25">
      <c r="A48" s="26" t="s">
        <v>47</v>
      </c>
      <c r="B48" s="26">
        <v>0.58180850619684188</v>
      </c>
    </row>
    <row r="49" spans="1:17" x14ac:dyDescent="0.25">
      <c r="A49" s="26" t="s">
        <v>48</v>
      </c>
      <c r="B49" s="26">
        <v>0.57920044944539639</v>
      </c>
    </row>
    <row r="50" spans="1:17" x14ac:dyDescent="0.25">
      <c r="A50" s="26" t="s">
        <v>49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</row>
    <row r="51" spans="1:17" x14ac:dyDescent="0.25">
      <c r="A51" s="26" t="s">
        <v>50</v>
      </c>
      <c r="B51" s="26" t="s">
        <v>39</v>
      </c>
      <c r="C51" s="26" t="s">
        <v>61</v>
      </c>
      <c r="D51" s="26" t="s">
        <v>25</v>
      </c>
      <c r="E51" s="26" t="s">
        <v>62</v>
      </c>
      <c r="F51" s="26" t="s">
        <v>4</v>
      </c>
      <c r="G51" s="26" t="s">
        <v>5</v>
      </c>
      <c r="H51" s="26" t="s">
        <v>6</v>
      </c>
      <c r="I51" s="26" t="s">
        <v>7</v>
      </c>
      <c r="J51" s="26" t="s">
        <v>8</v>
      </c>
      <c r="K51" s="26" t="s">
        <v>9</v>
      </c>
      <c r="L51" s="26" t="s">
        <v>10</v>
      </c>
      <c r="M51" s="26" t="s">
        <v>11</v>
      </c>
      <c r="N51" s="26" t="s">
        <v>12</v>
      </c>
      <c r="O51" s="26" t="s">
        <v>13</v>
      </c>
      <c r="P51" s="26" t="s">
        <v>14</v>
      </c>
      <c r="Q51" s="26" t="s">
        <v>15</v>
      </c>
    </row>
    <row r="52" spans="1:17" x14ac:dyDescent="0.25">
      <c r="A52" s="26" t="s">
        <v>51</v>
      </c>
      <c r="B52" s="26">
        <v>0</v>
      </c>
      <c r="C52" s="26">
        <v>0</v>
      </c>
      <c r="D52" s="26">
        <v>0</v>
      </c>
      <c r="E52" s="26">
        <v>0</v>
      </c>
      <c r="F52" s="26">
        <v>0</v>
      </c>
      <c r="G52" s="26">
        <v>0</v>
      </c>
      <c r="H52" s="26">
        <v>0</v>
      </c>
      <c r="I52" s="26">
        <v>0</v>
      </c>
      <c r="J52" s="26">
        <v>0</v>
      </c>
      <c r="K52" s="26">
        <v>0</v>
      </c>
      <c r="L52" s="26">
        <v>0</v>
      </c>
      <c r="M52" s="26">
        <v>0</v>
      </c>
      <c r="N52" s="26">
        <v>0</v>
      </c>
      <c r="O52" s="26">
        <v>0</v>
      </c>
      <c r="P52" s="26">
        <v>0</v>
      </c>
      <c r="Q52" s="26">
        <v>0</v>
      </c>
    </row>
    <row r="53" spans="1:17" x14ac:dyDescent="0.25">
      <c r="A53" s="26" t="s">
        <v>52</v>
      </c>
      <c r="B53" s="26">
        <v>2.0150077779300231E-2</v>
      </c>
      <c r="C53" s="26">
        <v>0.18051303784904579</v>
      </c>
      <c r="D53" s="26">
        <v>0.27600345428210188</v>
      </c>
      <c r="E53" s="26">
        <v>7.6808267594521654E-2</v>
      </c>
      <c r="F53" s="26">
        <v>106.5274824</v>
      </c>
      <c r="G53" s="26">
        <v>4614.5871560000014</v>
      </c>
      <c r="H53" s="26">
        <v>500.33889682800009</v>
      </c>
      <c r="I53" s="26">
        <v>8.3182379890000018</v>
      </c>
      <c r="J53" s="26">
        <v>36.424812205000002</v>
      </c>
      <c r="K53" s="26">
        <v>13.18762653394667</v>
      </c>
      <c r="L53" s="26">
        <v>5.823122083400774</v>
      </c>
      <c r="M53" s="26">
        <v>38.325823049368992</v>
      </c>
      <c r="N53" s="26">
        <v>10.828123810559971</v>
      </c>
      <c r="O53" s="26">
        <v>8.8155423950000014</v>
      </c>
      <c r="P53" s="26">
        <v>81.059065889999999</v>
      </c>
      <c r="Q53" s="26">
        <v>19.38550308482667</v>
      </c>
    </row>
    <row r="54" spans="1:17" x14ac:dyDescent="0.25">
      <c r="A54" s="26" t="s">
        <v>53</v>
      </c>
      <c r="B54" s="26">
        <v>0.76462828479851264</v>
      </c>
      <c r="C54" s="26">
        <v>0.27241592644905321</v>
      </c>
      <c r="D54" s="26">
        <v>0.31972419445695599</v>
      </c>
      <c r="E54" s="26">
        <v>0.10290348113750521</v>
      </c>
      <c r="F54" s="26">
        <v>65.733827590000004</v>
      </c>
      <c r="G54" s="26">
        <v>9806.9351730000017</v>
      </c>
      <c r="H54" s="26">
        <v>728.34712873242461</v>
      </c>
      <c r="I54" s="26">
        <v>6.0060694345000014</v>
      </c>
      <c r="J54" s="26">
        <v>55.349702065000002</v>
      </c>
      <c r="K54" s="26">
        <v>15.022098928057281</v>
      </c>
      <c r="L54" s="26">
        <v>4.5742460776173619</v>
      </c>
      <c r="M54" s="26">
        <v>55.871678144919223</v>
      </c>
      <c r="N54" s="26">
        <v>13.59762299428551</v>
      </c>
      <c r="O54" s="26">
        <v>8.472107609</v>
      </c>
      <c r="P54" s="26">
        <v>119.43551530000001</v>
      </c>
      <c r="Q54" s="26">
        <v>27.677181418444491</v>
      </c>
    </row>
    <row r="55" spans="1:17" x14ac:dyDescent="0.25">
      <c r="A55" s="26" t="s">
        <v>54</v>
      </c>
      <c r="B55" s="26">
        <v>7.6057140247228023</v>
      </c>
      <c r="C55" s="26">
        <v>0.36385012176703407</v>
      </c>
      <c r="D55" s="26">
        <v>0.35333287126855761</v>
      </c>
      <c r="E55" s="26">
        <v>0.12529660088469491</v>
      </c>
      <c r="F55" s="26">
        <v>53.247170650000001</v>
      </c>
      <c r="G55" s="26">
        <v>39186.316440000002</v>
      </c>
      <c r="H55" s="26">
        <v>678.05743852082207</v>
      </c>
      <c r="I55" s="26">
        <v>4.7530382395000004</v>
      </c>
      <c r="J55" s="26">
        <v>86.012322955000016</v>
      </c>
      <c r="K55" s="26">
        <v>14.237870986159351</v>
      </c>
      <c r="L55" s="26">
        <v>4.1169285674165366</v>
      </c>
      <c r="M55" s="26">
        <v>111.6843405584615</v>
      </c>
      <c r="N55" s="26">
        <v>13.55996139293026</v>
      </c>
      <c r="O55" s="26">
        <v>8.7284392540000013</v>
      </c>
      <c r="P55" s="26">
        <v>246.49088720000009</v>
      </c>
      <c r="Q55" s="26">
        <v>30.044973212771058</v>
      </c>
    </row>
    <row r="56" spans="1:17" x14ac:dyDescent="0.25">
      <c r="A56" s="26" t="s">
        <v>55</v>
      </c>
      <c r="B56" s="26">
        <v>21.012501108254281</v>
      </c>
      <c r="C56" s="26">
        <v>0.45436489643093908</v>
      </c>
      <c r="D56" s="26">
        <v>0.38227535572510152</v>
      </c>
      <c r="E56" s="26">
        <v>0.14650228575408261</v>
      </c>
      <c r="F56" s="26">
        <v>39.158802870000009</v>
      </c>
      <c r="G56" s="26">
        <v>28640.71218000001</v>
      </c>
      <c r="H56" s="26">
        <v>548.22926644463075</v>
      </c>
      <c r="I56" s="26">
        <v>4.0438293385000001</v>
      </c>
      <c r="J56" s="26">
        <v>82.095857144999997</v>
      </c>
      <c r="K56" s="26">
        <v>12.328048991688171</v>
      </c>
      <c r="L56" s="26">
        <v>3.5305288675555682</v>
      </c>
      <c r="M56" s="26">
        <v>95.481002478181537</v>
      </c>
      <c r="N56" s="26">
        <v>12.088803613035161</v>
      </c>
      <c r="O56" s="26">
        <v>8.7831243920000013</v>
      </c>
      <c r="P56" s="26">
        <v>172.48206529999999</v>
      </c>
      <c r="Q56" s="26">
        <v>28.814691210121659</v>
      </c>
    </row>
    <row r="57" spans="1:17" x14ac:dyDescent="0.25">
      <c r="A57" s="26" t="s">
        <v>56</v>
      </c>
      <c r="B57" s="26">
        <v>26.051901227005398</v>
      </c>
      <c r="C57" s="26">
        <v>0.55037658423417413</v>
      </c>
      <c r="D57" s="26">
        <v>0.41219662459216061</v>
      </c>
      <c r="E57" s="26">
        <v>0.17024080573224701</v>
      </c>
      <c r="F57" s="26">
        <v>35.44874861000001</v>
      </c>
      <c r="G57" s="26">
        <v>21850.223880000009</v>
      </c>
      <c r="H57" s="26">
        <v>403.59375432145532</v>
      </c>
      <c r="I57" s="26">
        <v>3.7517267314999998</v>
      </c>
      <c r="J57" s="26">
        <v>60.656476599999998</v>
      </c>
      <c r="K57" s="26">
        <v>10.3082475509232</v>
      </c>
      <c r="L57" s="26">
        <v>3.3591199941959369</v>
      </c>
      <c r="M57" s="26">
        <v>83.39749562386838</v>
      </c>
      <c r="N57" s="26">
        <v>10.26683100780733</v>
      </c>
      <c r="O57" s="26">
        <v>8.9382266740000009</v>
      </c>
      <c r="P57" s="26">
        <v>167.8506046</v>
      </c>
      <c r="Q57" s="26">
        <v>26.29033287621484</v>
      </c>
    </row>
    <row r="58" spans="1:17" x14ac:dyDescent="0.25">
      <c r="A58" s="26" t="s">
        <v>57</v>
      </c>
      <c r="B58" s="26">
        <v>24.02641540863014</v>
      </c>
      <c r="C58" s="26">
        <v>0.64794709287867258</v>
      </c>
      <c r="D58" s="26">
        <v>0.44074778266619352</v>
      </c>
      <c r="E58" s="26">
        <v>0.19452636317670119</v>
      </c>
      <c r="F58" s="26">
        <v>32.49046932000001</v>
      </c>
      <c r="G58" s="26">
        <v>21604.554209999998</v>
      </c>
      <c r="H58" s="26">
        <v>273.23188824567268</v>
      </c>
      <c r="I58" s="26">
        <v>3.5210314024999998</v>
      </c>
      <c r="J58" s="26">
        <v>60.054454560000003</v>
      </c>
      <c r="K58" s="26">
        <v>8.4523156889330533</v>
      </c>
      <c r="L58" s="26">
        <v>3.2159038529326631</v>
      </c>
      <c r="M58" s="26">
        <v>82.927336817461082</v>
      </c>
      <c r="N58" s="26">
        <v>8.4346632825954178</v>
      </c>
      <c r="O58" s="26">
        <v>9.0049755849999986</v>
      </c>
      <c r="P58" s="26">
        <v>174.3844182</v>
      </c>
      <c r="Q58" s="26">
        <v>23.08974574439706</v>
      </c>
    </row>
    <row r="59" spans="1:17" x14ac:dyDescent="0.25">
      <c r="A59" s="26" t="s">
        <v>58</v>
      </c>
      <c r="B59" s="26">
        <v>15.476871740724921</v>
      </c>
      <c r="C59" s="26">
        <v>0.74408885332494179</v>
      </c>
      <c r="D59" s="26">
        <v>0.46551751339640901</v>
      </c>
      <c r="E59" s="26">
        <v>0.21689461511613131</v>
      </c>
      <c r="F59" s="26">
        <v>31.412035880000008</v>
      </c>
      <c r="G59" s="26">
        <v>47268.675349999998</v>
      </c>
      <c r="H59" s="26">
        <v>183.97484486695959</v>
      </c>
      <c r="I59" s="26">
        <v>3.3420508094999999</v>
      </c>
      <c r="J59" s="26">
        <v>80.895177430000018</v>
      </c>
      <c r="K59" s="26">
        <v>7.0388845311981223</v>
      </c>
      <c r="L59" s="26">
        <v>3.1620818404595341</v>
      </c>
      <c r="M59" s="26">
        <v>122.66249088746341</v>
      </c>
      <c r="N59" s="26">
        <v>6.9933082993893727</v>
      </c>
      <c r="O59" s="26">
        <v>9.2191465690000012</v>
      </c>
      <c r="P59" s="26">
        <v>243.31484370000001</v>
      </c>
      <c r="Q59" s="26">
        <v>20.261432331671301</v>
      </c>
    </row>
    <row r="60" spans="1:17" x14ac:dyDescent="0.25">
      <c r="A60" s="26" t="s">
        <v>59</v>
      </c>
      <c r="B60" s="26">
        <v>4.7610603776930578</v>
      </c>
      <c r="C60" s="26">
        <v>0.83422355094657108</v>
      </c>
      <c r="D60" s="26">
        <v>0.48508075273020929</v>
      </c>
      <c r="E60" s="26">
        <v>0.23542721404961139</v>
      </c>
      <c r="F60" s="26">
        <v>28.617085830000001</v>
      </c>
      <c r="G60" s="26">
        <v>6236.9318280000007</v>
      </c>
      <c r="H60" s="26">
        <v>132.76164912730891</v>
      </c>
      <c r="I60" s="26">
        <v>3.228114567</v>
      </c>
      <c r="J60" s="26">
        <v>35.500007609999997</v>
      </c>
      <c r="K60" s="26">
        <v>6.1137264027785969</v>
      </c>
      <c r="L60" s="26">
        <v>3.0181287801316681</v>
      </c>
      <c r="M60" s="26">
        <v>44.556448021658341</v>
      </c>
      <c r="N60" s="26">
        <v>6.0403497886208459</v>
      </c>
      <c r="O60" s="26">
        <v>9.319288138000001</v>
      </c>
      <c r="P60" s="26">
        <v>108.8331099</v>
      </c>
      <c r="Q60" s="26">
        <v>18.277630470518201</v>
      </c>
    </row>
    <row r="61" spans="1:17" x14ac:dyDescent="0.25">
      <c r="A61" s="26" t="s">
        <v>60</v>
      </c>
      <c r="B61" s="26">
        <v>0.28075775039158318</v>
      </c>
      <c r="C61" s="26">
        <v>0.92633102218050001</v>
      </c>
      <c r="D61" s="26">
        <v>0.50263299409551143</v>
      </c>
      <c r="E61" s="26">
        <v>0.25273833981071769</v>
      </c>
      <c r="F61" s="26">
        <v>25.82213577000001</v>
      </c>
      <c r="G61" s="26">
        <v>819.03067820000012</v>
      </c>
      <c r="H61" s="26">
        <v>95.817066147100491</v>
      </c>
      <c r="I61" s="26">
        <v>3.0141870074999999</v>
      </c>
      <c r="J61" s="26">
        <v>15.051764455000001</v>
      </c>
      <c r="K61" s="26">
        <v>5.3463054168478479</v>
      </c>
      <c r="L61" s="26">
        <v>2.8669567659752202</v>
      </c>
      <c r="M61" s="26">
        <v>16.14637922132621</v>
      </c>
      <c r="N61" s="26">
        <v>5.2470203746715844</v>
      </c>
      <c r="O61" s="26">
        <v>9.4693477589999997</v>
      </c>
      <c r="P61" s="26">
        <v>45.520206250000001</v>
      </c>
      <c r="Q61" s="26">
        <v>16.479309622778949</v>
      </c>
    </row>
    <row r="62" spans="1:17" x14ac:dyDescent="0.25">
      <c r="A62" s="26" t="s">
        <v>63</v>
      </c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</row>
    <row r="63" spans="1:17" x14ac:dyDescent="0.25">
      <c r="A63" s="26" t="s">
        <v>64</v>
      </c>
      <c r="B63" s="26">
        <v>10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</row>
    <row r="64" spans="1:17" x14ac:dyDescent="0.25">
      <c r="A64" s="26" t="s">
        <v>65</v>
      </c>
      <c r="B64" s="26">
        <v>161.29</v>
      </c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</row>
    <row r="65" spans="1:17" x14ac:dyDescent="0.25">
      <c r="A65" s="26" t="s">
        <v>66</v>
      </c>
      <c r="B65" s="26">
        <v>56.985550717278052</v>
      </c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</row>
    <row r="66" spans="1:17" x14ac:dyDescent="0.25">
      <c r="A66" s="26" t="s">
        <v>67</v>
      </c>
      <c r="B66" s="26">
        <v>67.815092989985644</v>
      </c>
    </row>
    <row r="67" spans="1:17" x14ac:dyDescent="0.25">
      <c r="A67" s="26" t="s">
        <v>68</v>
      </c>
      <c r="B67" s="26">
        <v>670.26298417311011</v>
      </c>
    </row>
    <row r="68" spans="1:17" x14ac:dyDescent="0.25">
      <c r="A68" s="26" t="s">
        <v>69</v>
      </c>
      <c r="B68" s="26"/>
    </row>
    <row r="69" spans="1:17" x14ac:dyDescent="0.25">
      <c r="A69" s="26" t="s">
        <v>106</v>
      </c>
      <c r="B69" s="26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9"/>
  <sheetViews>
    <sheetView workbookViewId="0">
      <selection activeCell="C18" sqref="C18:C20"/>
    </sheetView>
  </sheetViews>
  <sheetFormatPr defaultRowHeight="15" x14ac:dyDescent="0.25"/>
  <cols>
    <col min="1" max="1" width="75" bestFit="1" customWidth="1"/>
    <col min="2" max="2" width="12" bestFit="1" customWidth="1"/>
    <col min="3" max="3" width="16.85546875" bestFit="1" customWidth="1"/>
    <col min="4" max="4" width="13.28515625" bestFit="1" customWidth="1"/>
    <col min="5" max="5" width="21.42578125" bestFit="1" customWidth="1"/>
    <col min="6" max="6" width="26.5703125" bestFit="1" customWidth="1"/>
    <col min="7" max="7" width="30.28515625" bestFit="1" customWidth="1"/>
    <col min="8" max="8" width="26.28515625" bestFit="1" customWidth="1"/>
    <col min="9" max="9" width="28.85546875" bestFit="1" customWidth="1"/>
    <col min="10" max="10" width="32.5703125" bestFit="1" customWidth="1"/>
    <col min="11" max="11" width="28.5703125" bestFit="1" customWidth="1"/>
    <col min="12" max="12" width="26.140625" bestFit="1" customWidth="1"/>
    <col min="13" max="13" width="29.85546875" bestFit="1" customWidth="1"/>
    <col min="14" max="14" width="25.85546875" bestFit="1" customWidth="1"/>
    <col min="15" max="15" width="29.85546875" bestFit="1" customWidth="1"/>
    <col min="16" max="16" width="33.42578125" bestFit="1" customWidth="1"/>
    <col min="17" max="17" width="29.42578125" bestFit="1" customWidth="1"/>
  </cols>
  <sheetData>
    <row r="1" spans="1:2" x14ac:dyDescent="0.25">
      <c r="A1" t="s">
        <v>107</v>
      </c>
    </row>
    <row r="2" spans="1:2" x14ac:dyDescent="0.25">
      <c r="A2" s="27" t="s">
        <v>0</v>
      </c>
      <c r="B2" s="27"/>
    </row>
    <row r="3" spans="1:2" x14ac:dyDescent="0.25">
      <c r="A3" s="27" t="s">
        <v>1</v>
      </c>
      <c r="B3" s="27">
        <v>1.27</v>
      </c>
    </row>
    <row r="4" spans="1:2" x14ac:dyDescent="0.25">
      <c r="A4" s="27" t="s">
        <v>2</v>
      </c>
      <c r="B4" s="27">
        <v>2</v>
      </c>
    </row>
    <row r="5" spans="1:2" x14ac:dyDescent="0.25">
      <c r="A5" s="27" t="s">
        <v>3</v>
      </c>
      <c r="B5" s="27">
        <v>6.4516</v>
      </c>
    </row>
    <row r="6" spans="1:2" x14ac:dyDescent="0.25">
      <c r="A6" s="27" t="s">
        <v>4</v>
      </c>
      <c r="B6" s="27">
        <v>28.617085830000001</v>
      </c>
    </row>
    <row r="7" spans="1:2" x14ac:dyDescent="0.25">
      <c r="A7" s="27" t="s">
        <v>5</v>
      </c>
      <c r="B7" s="27">
        <v>342081.70260000002</v>
      </c>
    </row>
    <row r="8" spans="1:2" x14ac:dyDescent="0.25">
      <c r="A8" s="27" t="s">
        <v>6</v>
      </c>
      <c r="B8" s="27">
        <v>1687.7356614349089</v>
      </c>
    </row>
    <row r="9" spans="1:2" x14ac:dyDescent="0.25">
      <c r="A9" s="27" t="s">
        <v>7</v>
      </c>
      <c r="B9" s="27">
        <v>6.0362575602633362</v>
      </c>
    </row>
    <row r="10" spans="1:2" x14ac:dyDescent="0.25">
      <c r="A10" s="27" t="s">
        <v>8</v>
      </c>
      <c r="B10" s="27">
        <v>659.96359845119741</v>
      </c>
    </row>
    <row r="11" spans="1:2" x14ac:dyDescent="0.25">
      <c r="A11" s="27" t="s">
        <v>9</v>
      </c>
      <c r="B11" s="27">
        <v>35.091259052713887</v>
      </c>
    </row>
    <row r="12" spans="1:2" x14ac:dyDescent="0.25">
      <c r="A12" s="27" t="s">
        <v>10</v>
      </c>
      <c r="B12" s="27">
        <v>3.0181287801316681</v>
      </c>
    </row>
    <row r="13" spans="1:2" x14ac:dyDescent="0.25">
      <c r="A13" s="27" t="s">
        <v>11</v>
      </c>
      <c r="B13" s="27">
        <v>329.98179922559871</v>
      </c>
    </row>
    <row r="14" spans="1:2" x14ac:dyDescent="0.25">
      <c r="A14" s="27" t="s">
        <v>12</v>
      </c>
      <c r="B14" s="27">
        <v>17.545629526356951</v>
      </c>
    </row>
    <row r="15" spans="1:2" x14ac:dyDescent="0.25">
      <c r="A15" s="27" t="s">
        <v>13</v>
      </c>
      <c r="B15" s="27">
        <v>8.8939398680000021</v>
      </c>
    </row>
    <row r="16" spans="1:2" x14ac:dyDescent="0.25">
      <c r="A16" s="27" t="s">
        <v>14</v>
      </c>
      <c r="B16" s="27">
        <v>578.8933042000001</v>
      </c>
    </row>
    <row r="17" spans="1:3" x14ac:dyDescent="0.25">
      <c r="A17" s="27" t="s">
        <v>15</v>
      </c>
      <c r="B17" s="27">
        <v>42.256829567676171</v>
      </c>
    </row>
    <row r="18" spans="1:3" x14ac:dyDescent="0.25">
      <c r="A18" s="27" t="s">
        <v>16</v>
      </c>
      <c r="B18" s="27">
        <v>2.9305502663020322</v>
      </c>
      <c r="C18" s="43" t="s">
        <v>180</v>
      </c>
    </row>
    <row r="19" spans="1:3" x14ac:dyDescent="0.25">
      <c r="A19" s="27" t="s">
        <v>17</v>
      </c>
      <c r="B19" s="27">
        <v>5.8864165621416407E-2</v>
      </c>
      <c r="C19" s="43">
        <f>B19/B18</f>
        <v>2.0086386607418686E-2</v>
      </c>
    </row>
    <row r="20" spans="1:3" x14ac:dyDescent="0.25">
      <c r="A20" s="27" t="s">
        <v>18</v>
      </c>
      <c r="B20" s="27">
        <v>2.8716861006806091</v>
      </c>
      <c r="C20" s="43">
        <f>B20/B18</f>
        <v>0.9799136133925791</v>
      </c>
    </row>
    <row r="21" spans="1:3" x14ac:dyDescent="0.25">
      <c r="A21" s="27" t="s">
        <v>19</v>
      </c>
      <c r="B21" s="27">
        <v>230.45625158447271</v>
      </c>
    </row>
    <row r="22" spans="1:3" x14ac:dyDescent="0.25">
      <c r="A22" s="27" t="s">
        <v>20</v>
      </c>
      <c r="B22" s="27">
        <v>2994.09113154534</v>
      </c>
    </row>
    <row r="23" spans="1:3" x14ac:dyDescent="0.25">
      <c r="A23" s="27" t="s">
        <v>21</v>
      </c>
      <c r="B23" s="27">
        <v>21.771191983567949</v>
      </c>
    </row>
    <row r="24" spans="1:3" x14ac:dyDescent="0.25">
      <c r="A24" s="27" t="s">
        <v>22</v>
      </c>
      <c r="B24" s="27">
        <v>60.620860882334078</v>
      </c>
    </row>
    <row r="25" spans="1:3" x14ac:dyDescent="0.25">
      <c r="A25" s="27" t="s">
        <v>23</v>
      </c>
      <c r="B25" s="27">
        <v>8.2100145867747454</v>
      </c>
    </row>
    <row r="26" spans="1:3" x14ac:dyDescent="0.25">
      <c r="A26" s="27" t="s">
        <v>24</v>
      </c>
      <c r="B26" s="27">
        <v>25.914396394763831</v>
      </c>
    </row>
    <row r="27" spans="1:3" x14ac:dyDescent="0.25">
      <c r="A27" s="27" t="s">
        <v>25</v>
      </c>
      <c r="B27" s="27">
        <v>0.40342699027919388</v>
      </c>
    </row>
    <row r="28" spans="1:3" x14ac:dyDescent="0.25">
      <c r="A28" s="27" t="s">
        <v>26</v>
      </c>
      <c r="B28" s="27">
        <v>0.42562431090902531</v>
      </c>
    </row>
    <row r="29" spans="1:3" x14ac:dyDescent="0.25">
      <c r="A29" s="27" t="s">
        <v>27</v>
      </c>
      <c r="B29" s="27">
        <v>0.3835285473103528</v>
      </c>
    </row>
    <row r="30" spans="1:3" x14ac:dyDescent="0.25">
      <c r="A30" s="27" t="s">
        <v>28</v>
      </c>
      <c r="B30" s="27">
        <v>0.16275333648572879</v>
      </c>
    </row>
    <row r="31" spans="1:3" x14ac:dyDescent="0.25">
      <c r="A31" s="27" t="s">
        <v>29</v>
      </c>
      <c r="B31" s="27">
        <v>0.18115605403678259</v>
      </c>
    </row>
    <row r="32" spans="1:3" x14ac:dyDescent="0.25">
      <c r="A32" s="27" t="s">
        <v>30</v>
      </c>
      <c r="B32" s="27">
        <v>0.14709414660198949</v>
      </c>
    </row>
    <row r="33" spans="1:2" x14ac:dyDescent="0.25">
      <c r="A33" s="27" t="s">
        <v>31</v>
      </c>
      <c r="B33" s="27">
        <v>9.483081859632464E-2</v>
      </c>
    </row>
    <row r="34" spans="1:2" x14ac:dyDescent="0.25">
      <c r="A34" s="27" t="s">
        <v>32</v>
      </c>
      <c r="B34" s="27">
        <v>0.14749121007452359</v>
      </c>
    </row>
    <row r="35" spans="1:2" x14ac:dyDescent="0.25">
      <c r="A35" s="27" t="s">
        <v>33</v>
      </c>
      <c r="B35" s="27">
        <v>4.7624229385843507E-2</v>
      </c>
    </row>
    <row r="36" spans="1:2" x14ac:dyDescent="0.25">
      <c r="A36" s="27" t="s">
        <v>34</v>
      </c>
      <c r="B36" s="27">
        <v>5389640.8335999995</v>
      </c>
    </row>
    <row r="37" spans="1:2" x14ac:dyDescent="0.25">
      <c r="A37" s="27" t="s">
        <v>35</v>
      </c>
      <c r="B37" s="27">
        <v>2.862965448485722E-3</v>
      </c>
    </row>
    <row r="38" spans="1:2" x14ac:dyDescent="0.25">
      <c r="A38" s="27" t="s">
        <v>36</v>
      </c>
      <c r="B38" s="27">
        <v>1650.5482774241741</v>
      </c>
    </row>
    <row r="39" spans="1:2" x14ac:dyDescent="0.25">
      <c r="A39" s="27" t="s">
        <v>37</v>
      </c>
      <c r="B39" s="27">
        <v>660.21931096966932</v>
      </c>
    </row>
    <row r="40" spans="1:2" x14ac:dyDescent="0.25">
      <c r="A40" s="27" t="s">
        <v>38</v>
      </c>
      <c r="B40" s="27" t="s">
        <v>39</v>
      </c>
    </row>
    <row r="41" spans="1:2" x14ac:dyDescent="0.25">
      <c r="A41" s="27" t="s">
        <v>40</v>
      </c>
      <c r="B41" s="27">
        <v>0</v>
      </c>
    </row>
    <row r="42" spans="1:2" x14ac:dyDescent="0.25">
      <c r="A42" s="27" t="s">
        <v>41</v>
      </c>
      <c r="B42" s="27">
        <v>0</v>
      </c>
    </row>
    <row r="43" spans="1:2" x14ac:dyDescent="0.25">
      <c r="A43" s="27" t="s">
        <v>42</v>
      </c>
      <c r="B43" s="27">
        <v>9.5338843854642454E-5</v>
      </c>
    </row>
    <row r="44" spans="1:2" x14ac:dyDescent="0.25">
      <c r="A44" s="27" t="s">
        <v>43</v>
      </c>
      <c r="B44" s="27">
        <v>5.8768826777561782E-2</v>
      </c>
    </row>
    <row r="45" spans="1:2" x14ac:dyDescent="0.25">
      <c r="A45" s="27" t="s">
        <v>44</v>
      </c>
      <c r="B45" s="27">
        <v>0.81398292519077509</v>
      </c>
    </row>
    <row r="46" spans="1:2" x14ac:dyDescent="0.25">
      <c r="A46" s="27" t="s">
        <v>45</v>
      </c>
      <c r="B46" s="27">
        <v>1.524823428009364</v>
      </c>
    </row>
    <row r="47" spans="1:2" x14ac:dyDescent="0.25">
      <c r="A47" s="27" t="s">
        <v>46</v>
      </c>
      <c r="B47" s="27">
        <v>0.53287974748047695</v>
      </c>
    </row>
    <row r="48" spans="1:2" x14ac:dyDescent="0.25">
      <c r="A48" s="27" t="s">
        <v>47</v>
      </c>
      <c r="B48" s="27">
        <v>0.53778410817397537</v>
      </c>
    </row>
    <row r="49" spans="1:17" x14ac:dyDescent="0.25">
      <c r="A49" s="27" t="s">
        <v>48</v>
      </c>
      <c r="B49" s="27">
        <v>0.5327098047105796</v>
      </c>
    </row>
    <row r="50" spans="1:17" x14ac:dyDescent="0.25">
      <c r="A50" s="27" t="s">
        <v>49</v>
      </c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</row>
    <row r="51" spans="1:17" x14ac:dyDescent="0.25">
      <c r="A51" s="27" t="s">
        <v>50</v>
      </c>
      <c r="B51" s="27" t="s">
        <v>39</v>
      </c>
      <c r="C51" s="27" t="s">
        <v>61</v>
      </c>
      <c r="D51" s="27" t="s">
        <v>25</v>
      </c>
      <c r="E51" s="27" t="s">
        <v>62</v>
      </c>
      <c r="F51" s="27" t="s">
        <v>4</v>
      </c>
      <c r="G51" s="27" t="s">
        <v>5</v>
      </c>
      <c r="H51" s="27" t="s">
        <v>6</v>
      </c>
      <c r="I51" s="27" t="s">
        <v>7</v>
      </c>
      <c r="J51" s="27" t="s">
        <v>8</v>
      </c>
      <c r="K51" s="27" t="s">
        <v>9</v>
      </c>
      <c r="L51" s="27" t="s">
        <v>10</v>
      </c>
      <c r="M51" s="27" t="s">
        <v>11</v>
      </c>
      <c r="N51" s="27" t="s">
        <v>12</v>
      </c>
      <c r="O51" s="27" t="s">
        <v>13</v>
      </c>
      <c r="P51" s="27" t="s">
        <v>14</v>
      </c>
      <c r="Q51" s="27" t="s">
        <v>15</v>
      </c>
    </row>
    <row r="52" spans="1:17" x14ac:dyDescent="0.25">
      <c r="A52" s="27" t="s">
        <v>51</v>
      </c>
      <c r="B52" s="27">
        <v>5.4742803209060879E-2</v>
      </c>
      <c r="C52" s="27">
        <v>7.5371791794870219E-2</v>
      </c>
      <c r="D52" s="27">
        <v>0.25235812608398528</v>
      </c>
      <c r="E52" s="27">
        <v>6.7135637158515601E-2</v>
      </c>
      <c r="F52" s="27">
        <v>238.54955100000009</v>
      </c>
      <c r="G52" s="27">
        <v>4682.2998720000014</v>
      </c>
      <c r="H52" s="27">
        <v>1039.820445686207</v>
      </c>
      <c r="I52" s="27">
        <v>13.143910296</v>
      </c>
      <c r="J52" s="27">
        <v>43.044708673000002</v>
      </c>
      <c r="K52" s="27">
        <v>19.946971655086209</v>
      </c>
      <c r="L52" s="27">
        <v>8.7139359894369441</v>
      </c>
      <c r="M52" s="27">
        <v>38.605988386967873</v>
      </c>
      <c r="N52" s="27">
        <v>16.766838559235211</v>
      </c>
      <c r="O52" s="27">
        <v>9.7299552840000008</v>
      </c>
      <c r="P52" s="27">
        <v>64.865524350000001</v>
      </c>
      <c r="Q52" s="27">
        <v>28.084706980137931</v>
      </c>
    </row>
    <row r="53" spans="1:17" x14ac:dyDescent="0.25">
      <c r="A53" s="27" t="s">
        <v>52</v>
      </c>
      <c r="B53" s="27">
        <v>0.19443133553563</v>
      </c>
      <c r="C53" s="27">
        <v>0.16153608880181999</v>
      </c>
      <c r="D53" s="27">
        <v>0.29844339315479951</v>
      </c>
      <c r="E53" s="27">
        <v>9.1519792661684168E-2</v>
      </c>
      <c r="F53" s="27">
        <v>97.670329120000019</v>
      </c>
      <c r="G53" s="27">
        <v>15484.25454</v>
      </c>
      <c r="H53" s="27">
        <v>1002.87039879534</v>
      </c>
      <c r="I53" s="27">
        <v>7.3581999625000014</v>
      </c>
      <c r="J53" s="27">
        <v>72.567171400000007</v>
      </c>
      <c r="K53" s="27">
        <v>15.144272356184469</v>
      </c>
      <c r="L53" s="27">
        <v>5.5757897508532892</v>
      </c>
      <c r="M53" s="27">
        <v>70.205350937576299</v>
      </c>
      <c r="N53" s="27">
        <v>14.49289629649676</v>
      </c>
      <c r="O53" s="27">
        <v>9.4808789310000012</v>
      </c>
      <c r="P53" s="27">
        <v>152.48922160000001</v>
      </c>
      <c r="Q53" s="27">
        <v>27.996420577786409</v>
      </c>
    </row>
    <row r="54" spans="1:17" x14ac:dyDescent="0.25">
      <c r="A54" s="27" t="s">
        <v>53</v>
      </c>
      <c r="B54" s="27">
        <v>1.8839075035394051</v>
      </c>
      <c r="C54" s="27">
        <v>0.26872122406168969</v>
      </c>
      <c r="D54" s="27">
        <v>0.32794627649116348</v>
      </c>
      <c r="E54" s="27">
        <v>0.1084715159938659</v>
      </c>
      <c r="F54" s="27">
        <v>87.355921390000006</v>
      </c>
      <c r="G54" s="27">
        <v>54315.507370000007</v>
      </c>
      <c r="H54" s="27">
        <v>2630.5367592464831</v>
      </c>
      <c r="I54" s="27">
        <v>5.8750400174999999</v>
      </c>
      <c r="J54" s="27">
        <v>107.29628995</v>
      </c>
      <c r="K54" s="27">
        <v>24.25792598582866</v>
      </c>
      <c r="L54" s="27">
        <v>5.2731635092353306</v>
      </c>
      <c r="M54" s="27">
        <v>131.4882617154837</v>
      </c>
      <c r="N54" s="27">
        <v>23.73973990666326</v>
      </c>
      <c r="O54" s="27">
        <v>9.0984308200000008</v>
      </c>
      <c r="P54" s="27">
        <v>268.15357069999988</v>
      </c>
      <c r="Q54" s="27">
        <v>48.762211830446901</v>
      </c>
    </row>
    <row r="55" spans="1:17" x14ac:dyDescent="0.25">
      <c r="A55" s="27" t="s">
        <v>54</v>
      </c>
      <c r="B55" s="27">
        <v>12.39830108541765</v>
      </c>
      <c r="C55" s="27">
        <v>0.36035312130182101</v>
      </c>
      <c r="D55" s="27">
        <v>0.35359336570825961</v>
      </c>
      <c r="E55" s="27">
        <v>0.12564414294942339</v>
      </c>
      <c r="F55" s="27">
        <v>65.978895710000018</v>
      </c>
      <c r="G55" s="27">
        <v>104617.6041</v>
      </c>
      <c r="H55" s="27">
        <v>2141.281887824086</v>
      </c>
      <c r="I55" s="27">
        <v>5.0675971070000001</v>
      </c>
      <c r="J55" s="27">
        <v>147.32968077500001</v>
      </c>
      <c r="K55" s="27">
        <v>21.806117846352091</v>
      </c>
      <c r="L55" s="27">
        <v>4.5827649714972623</v>
      </c>
      <c r="M55" s="27">
        <v>182.48511625305741</v>
      </c>
      <c r="N55" s="27">
        <v>21.831116278336069</v>
      </c>
      <c r="O55" s="27">
        <v>9.5878341119999995</v>
      </c>
      <c r="P55" s="27">
        <v>343.88965139999999</v>
      </c>
      <c r="Q55" s="27">
        <v>47.706431259612508</v>
      </c>
    </row>
    <row r="56" spans="1:17" x14ac:dyDescent="0.25">
      <c r="A56" s="27" t="s">
        <v>55</v>
      </c>
      <c r="B56" s="27">
        <v>26.144407739499769</v>
      </c>
      <c r="C56" s="27">
        <v>0.45309188197956418</v>
      </c>
      <c r="D56" s="27">
        <v>0.37947248940893702</v>
      </c>
      <c r="E56" s="27">
        <v>0.14462812978147199</v>
      </c>
      <c r="F56" s="27">
        <v>46.235533780000011</v>
      </c>
      <c r="G56" s="27">
        <v>201313.02690000011</v>
      </c>
      <c r="H56" s="27">
        <v>2119.6067458187758</v>
      </c>
      <c r="I56" s="27">
        <v>4.23031165</v>
      </c>
      <c r="J56" s="27">
        <v>175.73649760000001</v>
      </c>
      <c r="K56" s="27">
        <v>19.742009576420621</v>
      </c>
      <c r="L56" s="27">
        <v>3.8363038846210569</v>
      </c>
      <c r="M56" s="27">
        <v>253.14013249552789</v>
      </c>
      <c r="N56" s="27">
        <v>20.539527043025259</v>
      </c>
      <c r="O56" s="27">
        <v>9.4994411240000023</v>
      </c>
      <c r="P56" s="27">
        <v>435.56912290000002</v>
      </c>
      <c r="Q56" s="27">
        <v>47.46321931221307</v>
      </c>
    </row>
    <row r="57" spans="1:17" x14ac:dyDescent="0.25">
      <c r="A57" s="27" t="s">
        <v>56</v>
      </c>
      <c r="B57" s="27">
        <v>27.673430863614911</v>
      </c>
      <c r="C57" s="27">
        <v>0.54883810772995589</v>
      </c>
      <c r="D57" s="27">
        <v>0.40750836649231081</v>
      </c>
      <c r="E57" s="27">
        <v>0.1666844640986373</v>
      </c>
      <c r="F57" s="27">
        <v>38.73383492</v>
      </c>
      <c r="G57" s="27">
        <v>130751.7087</v>
      </c>
      <c r="H57" s="27">
        <v>1634.1693477685781</v>
      </c>
      <c r="I57" s="27">
        <v>3.8802551835000001</v>
      </c>
      <c r="J57" s="27">
        <v>146.9512928</v>
      </c>
      <c r="K57" s="27">
        <v>16.479456516719988</v>
      </c>
      <c r="L57" s="27">
        <v>3.5113192086232972</v>
      </c>
      <c r="M57" s="27">
        <v>204.00872901577799</v>
      </c>
      <c r="N57" s="27">
        <v>17.374927457855531</v>
      </c>
      <c r="O57" s="27">
        <v>8.8939398680000021</v>
      </c>
      <c r="P57" s="27">
        <v>393.80217690000001</v>
      </c>
      <c r="Q57" s="27">
        <v>42.81872949034134</v>
      </c>
    </row>
    <row r="58" spans="1:17" x14ac:dyDescent="0.25">
      <c r="A58" s="27" t="s">
        <v>57</v>
      </c>
      <c r="B58" s="27">
        <v>20.151014629542239</v>
      </c>
      <c r="C58" s="27">
        <v>0.64565905645547883</v>
      </c>
      <c r="D58" s="27">
        <v>0.43464434378099542</v>
      </c>
      <c r="E58" s="27">
        <v>0.18953608096970881</v>
      </c>
      <c r="F58" s="27">
        <v>34.272079980000008</v>
      </c>
      <c r="G58" s="27">
        <v>342081.70260000002</v>
      </c>
      <c r="H58" s="27">
        <v>1301.820257573527</v>
      </c>
      <c r="I58" s="27">
        <v>3.5274141029999999</v>
      </c>
      <c r="J58" s="27">
        <v>215.00767775</v>
      </c>
      <c r="K58" s="27">
        <v>13.518661109602579</v>
      </c>
      <c r="L58" s="27">
        <v>3.3028990111287948</v>
      </c>
      <c r="M58" s="27">
        <v>329.98179922559871</v>
      </c>
      <c r="N58" s="27">
        <v>14.320060817716341</v>
      </c>
      <c r="O58" s="27">
        <v>9.2750815270000011</v>
      </c>
      <c r="P58" s="27">
        <v>578.8933042000001</v>
      </c>
      <c r="Q58" s="27">
        <v>37.316003651168622</v>
      </c>
    </row>
    <row r="59" spans="1:17" x14ac:dyDescent="0.25">
      <c r="A59" s="27" t="s">
        <v>58</v>
      </c>
      <c r="B59" s="27">
        <v>9.3704577630957999</v>
      </c>
      <c r="C59" s="27">
        <v>0.74104700754896236</v>
      </c>
      <c r="D59" s="27">
        <v>0.45812936742232391</v>
      </c>
      <c r="E59" s="27">
        <v>0.21038698189147459</v>
      </c>
      <c r="F59" s="27">
        <v>31.412035880000008</v>
      </c>
      <c r="G59" s="27">
        <v>299802.29499999998</v>
      </c>
      <c r="H59" s="27">
        <v>941.96727981549782</v>
      </c>
      <c r="I59" s="27">
        <v>3.3420508094999999</v>
      </c>
      <c r="J59" s="27">
        <v>194.12322850000001</v>
      </c>
      <c r="K59" s="27">
        <v>11.082139362804901</v>
      </c>
      <c r="L59" s="27">
        <v>3.1620818404595341</v>
      </c>
      <c r="M59" s="27">
        <v>308.91752038220369</v>
      </c>
      <c r="N59" s="27">
        <v>11.641010012008939</v>
      </c>
      <c r="O59" s="27">
        <v>9.2191465690000012</v>
      </c>
      <c r="P59" s="27">
        <v>527.23854040000003</v>
      </c>
      <c r="Q59" s="27">
        <v>32.032542896125307</v>
      </c>
    </row>
    <row r="60" spans="1:17" x14ac:dyDescent="0.25">
      <c r="A60" s="27" t="s">
        <v>59</v>
      </c>
      <c r="B60" s="27">
        <v>2.040585181689476</v>
      </c>
      <c r="C60" s="27">
        <v>0.83219627630331294</v>
      </c>
      <c r="D60" s="27">
        <v>0.4782060429255906</v>
      </c>
      <c r="E60" s="27">
        <v>0.22913121121127389</v>
      </c>
      <c r="F60" s="27">
        <v>28.617085830000001</v>
      </c>
      <c r="G60" s="27">
        <v>43740.032060000012</v>
      </c>
      <c r="H60" s="27">
        <v>617.15694310557831</v>
      </c>
      <c r="I60" s="27">
        <v>3.228114567</v>
      </c>
      <c r="J60" s="27">
        <v>84.564239045000008</v>
      </c>
      <c r="K60" s="27">
        <v>9.0062607254343217</v>
      </c>
      <c r="L60" s="27">
        <v>3.0181287801316681</v>
      </c>
      <c r="M60" s="27">
        <v>117.9952737472733</v>
      </c>
      <c r="N60" s="27">
        <v>9.3689115879393601</v>
      </c>
      <c r="O60" s="27">
        <v>9.319288138000001</v>
      </c>
      <c r="P60" s="27">
        <v>250.7858708</v>
      </c>
      <c r="Q60" s="27">
        <v>26.9058489999186</v>
      </c>
    </row>
    <row r="61" spans="1:17" x14ac:dyDescent="0.25">
      <c r="A61" s="27" t="s">
        <v>60</v>
      </c>
      <c r="B61" s="27">
        <v>8.8721094856064192E-2</v>
      </c>
      <c r="C61" s="27">
        <v>0.92435907503181791</v>
      </c>
      <c r="D61" s="27">
        <v>0.49160067529205848</v>
      </c>
      <c r="E61" s="27">
        <v>0.2422403287475077</v>
      </c>
      <c r="F61" s="27">
        <v>35.628722699999997</v>
      </c>
      <c r="G61" s="27">
        <v>12292.09366</v>
      </c>
      <c r="H61" s="27">
        <v>673.43714001744684</v>
      </c>
      <c r="I61" s="27">
        <v>3.5277359745000001</v>
      </c>
      <c r="J61" s="27">
        <v>52.163865169999987</v>
      </c>
      <c r="K61" s="27">
        <v>9.1962488501595736</v>
      </c>
      <c r="L61" s="27">
        <v>3.3676363621256442</v>
      </c>
      <c r="M61" s="27">
        <v>62.551538221494567</v>
      </c>
      <c r="N61" s="27">
        <v>9.6251690570679322</v>
      </c>
      <c r="O61" s="27">
        <v>10.867429980000001</v>
      </c>
      <c r="P61" s="27">
        <v>157.73114440000001</v>
      </c>
      <c r="Q61" s="27">
        <v>28.205619611276589</v>
      </c>
    </row>
    <row r="62" spans="1:17" x14ac:dyDescent="0.25">
      <c r="A62" s="27" t="s">
        <v>63</v>
      </c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</row>
    <row r="63" spans="1:17" x14ac:dyDescent="0.25">
      <c r="A63" s="27" t="s">
        <v>64</v>
      </c>
      <c r="B63" s="27">
        <v>10</v>
      </c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</row>
    <row r="64" spans="1:17" x14ac:dyDescent="0.25">
      <c r="A64" s="27" t="s">
        <v>65</v>
      </c>
      <c r="B64" s="27">
        <v>161.29</v>
      </c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</row>
    <row r="65" spans="1:17" x14ac:dyDescent="0.25">
      <c r="A65" s="27" t="s">
        <v>66</v>
      </c>
      <c r="B65" s="27">
        <v>23.660567593127372</v>
      </c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</row>
    <row r="66" spans="1:17" x14ac:dyDescent="0.25">
      <c r="A66" s="27" t="s">
        <v>67</v>
      </c>
      <c r="B66" s="27">
        <v>97.233226837060698</v>
      </c>
    </row>
    <row r="67" spans="1:17" x14ac:dyDescent="0.25">
      <c r="A67" s="27" t="s">
        <v>68</v>
      </c>
      <c r="B67" s="27">
        <v>301.98714949878661</v>
      </c>
    </row>
    <row r="68" spans="1:17" x14ac:dyDescent="0.25">
      <c r="A68" s="27" t="s">
        <v>69</v>
      </c>
      <c r="B68" s="27"/>
    </row>
    <row r="69" spans="1:17" x14ac:dyDescent="0.25">
      <c r="A69" s="27" t="s">
        <v>108</v>
      </c>
      <c r="B69" s="27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9"/>
  <sheetViews>
    <sheetView workbookViewId="0">
      <selection activeCell="C18" sqref="C18:C20"/>
    </sheetView>
  </sheetViews>
  <sheetFormatPr defaultRowHeight="15" x14ac:dyDescent="0.25"/>
  <cols>
    <col min="1" max="1" width="75" bestFit="1" customWidth="1"/>
    <col min="2" max="2" width="12" bestFit="1" customWidth="1"/>
    <col min="3" max="3" width="16.85546875" bestFit="1" customWidth="1"/>
    <col min="4" max="4" width="13.28515625" bestFit="1" customWidth="1"/>
    <col min="5" max="5" width="21.42578125" bestFit="1" customWidth="1"/>
    <col min="6" max="6" width="26.5703125" bestFit="1" customWidth="1"/>
    <col min="7" max="7" width="30.28515625" bestFit="1" customWidth="1"/>
    <col min="8" max="8" width="26.28515625" bestFit="1" customWidth="1"/>
    <col min="9" max="9" width="28.85546875" bestFit="1" customWidth="1"/>
    <col min="10" max="10" width="32.5703125" bestFit="1" customWidth="1"/>
    <col min="11" max="11" width="28.5703125" bestFit="1" customWidth="1"/>
    <col min="12" max="12" width="26.140625" bestFit="1" customWidth="1"/>
    <col min="13" max="13" width="29.85546875" bestFit="1" customWidth="1"/>
    <col min="14" max="14" width="25.85546875" bestFit="1" customWidth="1"/>
    <col min="15" max="15" width="29.85546875" bestFit="1" customWidth="1"/>
    <col min="16" max="16" width="33.42578125" bestFit="1" customWidth="1"/>
    <col min="17" max="17" width="29.42578125" bestFit="1" customWidth="1"/>
  </cols>
  <sheetData>
    <row r="1" spans="1:2" x14ac:dyDescent="0.25">
      <c r="A1" t="s">
        <v>109</v>
      </c>
    </row>
    <row r="2" spans="1:2" x14ac:dyDescent="0.25">
      <c r="A2" s="28" t="s">
        <v>0</v>
      </c>
      <c r="B2" s="28"/>
    </row>
    <row r="3" spans="1:2" x14ac:dyDescent="0.25">
      <c r="A3" s="28" t="s">
        <v>1</v>
      </c>
      <c r="B3" s="28">
        <v>1.27</v>
      </c>
    </row>
    <row r="4" spans="1:2" x14ac:dyDescent="0.25">
      <c r="A4" s="28" t="s">
        <v>2</v>
      </c>
      <c r="B4" s="28">
        <v>2</v>
      </c>
    </row>
    <row r="5" spans="1:2" x14ac:dyDescent="0.25">
      <c r="A5" s="28" t="s">
        <v>3</v>
      </c>
      <c r="B5" s="28">
        <v>6.4516</v>
      </c>
    </row>
    <row r="6" spans="1:2" x14ac:dyDescent="0.25">
      <c r="A6" s="28" t="s">
        <v>4</v>
      </c>
      <c r="B6" s="28">
        <v>25.82213577000001</v>
      </c>
    </row>
    <row r="7" spans="1:2" x14ac:dyDescent="0.25">
      <c r="A7" s="28" t="s">
        <v>5</v>
      </c>
      <c r="B7" s="28">
        <v>173392.68220000001</v>
      </c>
    </row>
    <row r="8" spans="1:2" x14ac:dyDescent="0.25">
      <c r="A8" s="28" t="s">
        <v>6</v>
      </c>
      <c r="B8" s="28">
        <v>1547.382721962761</v>
      </c>
    </row>
    <row r="9" spans="1:2" x14ac:dyDescent="0.25">
      <c r="A9" s="28" t="s">
        <v>7</v>
      </c>
      <c r="B9" s="28">
        <v>5.7339135319504404</v>
      </c>
    </row>
    <row r="10" spans="1:2" x14ac:dyDescent="0.25">
      <c r="A10" s="28" t="s">
        <v>8</v>
      </c>
      <c r="B10" s="28">
        <v>469.86212844273462</v>
      </c>
    </row>
    <row r="11" spans="1:2" x14ac:dyDescent="0.25">
      <c r="A11" s="28" t="s">
        <v>9</v>
      </c>
      <c r="B11" s="28">
        <v>35.009158213576292</v>
      </c>
    </row>
    <row r="12" spans="1:2" x14ac:dyDescent="0.25">
      <c r="A12" s="28" t="s">
        <v>10</v>
      </c>
      <c r="B12" s="28">
        <v>2.8669567659752202</v>
      </c>
    </row>
    <row r="13" spans="1:2" x14ac:dyDescent="0.25">
      <c r="A13" s="28" t="s">
        <v>11</v>
      </c>
      <c r="B13" s="28">
        <v>234.93106422136731</v>
      </c>
    </row>
    <row r="14" spans="1:2" x14ac:dyDescent="0.25">
      <c r="A14" s="28" t="s">
        <v>12</v>
      </c>
      <c r="B14" s="28">
        <v>17.50457910678815</v>
      </c>
    </row>
    <row r="15" spans="1:2" x14ac:dyDescent="0.25">
      <c r="A15" s="28" t="s">
        <v>13</v>
      </c>
      <c r="B15" s="28">
        <v>8.851950586000001</v>
      </c>
    </row>
    <row r="16" spans="1:2" x14ac:dyDescent="0.25">
      <c r="A16" s="28" t="s">
        <v>14</v>
      </c>
      <c r="B16" s="28">
        <v>412.07279779999999</v>
      </c>
    </row>
    <row r="17" spans="1:3" x14ac:dyDescent="0.25">
      <c r="A17" s="28" t="s">
        <v>15</v>
      </c>
      <c r="B17" s="28">
        <v>42.153549392785777</v>
      </c>
    </row>
    <row r="18" spans="1:3" x14ac:dyDescent="0.25">
      <c r="A18" s="28" t="s">
        <v>16</v>
      </c>
      <c r="B18" s="28">
        <v>3.79959994916904</v>
      </c>
      <c r="C18" s="43" t="s">
        <v>180</v>
      </c>
    </row>
    <row r="19" spans="1:3" x14ac:dyDescent="0.25">
      <c r="A19" s="28" t="s">
        <v>17</v>
      </c>
      <c r="B19" s="28">
        <v>9.3082307512040732E-2</v>
      </c>
      <c r="C19" s="43">
        <f>B19/B18</f>
        <v>2.4497923138565556E-2</v>
      </c>
    </row>
    <row r="20" spans="1:3" x14ac:dyDescent="0.25">
      <c r="A20" s="28" t="s">
        <v>18</v>
      </c>
      <c r="B20" s="28">
        <v>3.7065176416569909</v>
      </c>
      <c r="C20" s="43">
        <f>B20/B18</f>
        <v>0.97550207686143231</v>
      </c>
    </row>
    <row r="21" spans="1:3" x14ac:dyDescent="0.25">
      <c r="A21" s="28" t="s">
        <v>19</v>
      </c>
      <c r="B21" s="28">
        <v>231.89109525577749</v>
      </c>
    </row>
    <row r="22" spans="1:3" x14ac:dyDescent="0.25">
      <c r="A22" s="28" t="s">
        <v>20</v>
      </c>
      <c r="B22" s="28">
        <v>2634.6242925932388</v>
      </c>
    </row>
    <row r="23" spans="1:3" x14ac:dyDescent="0.25">
      <c r="A23" s="28" t="s">
        <v>21</v>
      </c>
      <c r="B23" s="28">
        <v>21.843779745372871</v>
      </c>
    </row>
    <row r="24" spans="1:3" x14ac:dyDescent="0.25">
      <c r="A24" s="28" t="s">
        <v>22</v>
      </c>
      <c r="B24" s="28">
        <v>58.939384743081753</v>
      </c>
    </row>
    <row r="25" spans="1:3" x14ac:dyDescent="0.25">
      <c r="A25" s="28" t="s">
        <v>23</v>
      </c>
      <c r="B25" s="28">
        <v>8.2328082772954989</v>
      </c>
    </row>
    <row r="26" spans="1:3" x14ac:dyDescent="0.25">
      <c r="A26" s="28" t="s">
        <v>24</v>
      </c>
      <c r="B26" s="28">
        <v>25.167611295307601</v>
      </c>
    </row>
    <row r="27" spans="1:3" x14ac:dyDescent="0.25">
      <c r="A27" s="28" t="s">
        <v>25</v>
      </c>
      <c r="B27" s="28">
        <v>0.40196309276337888</v>
      </c>
    </row>
    <row r="28" spans="1:3" x14ac:dyDescent="0.25">
      <c r="A28" s="28" t="s">
        <v>26</v>
      </c>
      <c r="B28" s="28">
        <v>0.4262259883720626</v>
      </c>
    </row>
    <row r="29" spans="1:3" x14ac:dyDescent="0.25">
      <c r="A29" s="28" t="s">
        <v>27</v>
      </c>
      <c r="B29" s="28">
        <v>0.38191003564460158</v>
      </c>
    </row>
    <row r="30" spans="1:3" x14ac:dyDescent="0.25">
      <c r="A30" s="28" t="s">
        <v>28</v>
      </c>
      <c r="B30" s="28">
        <v>0.16157432794390081</v>
      </c>
    </row>
    <row r="31" spans="1:3" x14ac:dyDescent="0.25">
      <c r="A31" s="28" t="s">
        <v>29</v>
      </c>
      <c r="B31" s="28">
        <v>0.18166859316374159</v>
      </c>
    </row>
    <row r="32" spans="1:3" x14ac:dyDescent="0.25">
      <c r="A32" s="28" t="s">
        <v>30</v>
      </c>
      <c r="B32" s="28">
        <v>0.14585527532606091</v>
      </c>
    </row>
    <row r="33" spans="1:2" x14ac:dyDescent="0.25">
      <c r="A33" s="28" t="s">
        <v>31</v>
      </c>
      <c r="B33" s="28">
        <v>9.2872561134471274E-2</v>
      </c>
    </row>
    <row r="34" spans="1:2" x14ac:dyDescent="0.25">
      <c r="A34" s="28" t="s">
        <v>32</v>
      </c>
      <c r="B34" s="28">
        <v>0.1478113892266604</v>
      </c>
    </row>
    <row r="35" spans="1:2" x14ac:dyDescent="0.25">
      <c r="A35" s="28" t="s">
        <v>33</v>
      </c>
      <c r="B35" s="28">
        <v>4.7466131681876703E-2</v>
      </c>
    </row>
    <row r="36" spans="1:2" x14ac:dyDescent="0.25">
      <c r="A36" s="28" t="s">
        <v>34</v>
      </c>
      <c r="B36" s="28">
        <v>5133305.8624</v>
      </c>
    </row>
    <row r="37" spans="1:2" x14ac:dyDescent="0.25">
      <c r="A37" s="28" t="s">
        <v>35</v>
      </c>
      <c r="B37" s="28">
        <v>3.6681612381994199E-3</v>
      </c>
    </row>
    <row r="38" spans="1:2" x14ac:dyDescent="0.25">
      <c r="A38" s="28" t="s">
        <v>36</v>
      </c>
      <c r="B38" s="28">
        <v>2231.21327107865</v>
      </c>
    </row>
    <row r="39" spans="1:2" x14ac:dyDescent="0.25">
      <c r="A39" s="28" t="s">
        <v>37</v>
      </c>
      <c r="B39" s="28">
        <v>892.48530843145977</v>
      </c>
    </row>
    <row r="40" spans="1:2" x14ac:dyDescent="0.25">
      <c r="A40" s="28" t="s">
        <v>38</v>
      </c>
      <c r="B40" s="28" t="s">
        <v>39</v>
      </c>
    </row>
    <row r="41" spans="1:2" x14ac:dyDescent="0.25">
      <c r="A41" s="28" t="s">
        <v>40</v>
      </c>
      <c r="B41" s="28">
        <v>0</v>
      </c>
    </row>
    <row r="42" spans="1:2" x14ac:dyDescent="0.25">
      <c r="A42" s="28" t="s">
        <v>41</v>
      </c>
      <c r="B42" s="28">
        <v>0</v>
      </c>
    </row>
    <row r="43" spans="1:2" x14ac:dyDescent="0.25">
      <c r="A43" s="28" t="s">
        <v>42</v>
      </c>
      <c r="B43" s="28">
        <v>1.7555394320054941E-4</v>
      </c>
    </row>
    <row r="44" spans="1:2" x14ac:dyDescent="0.25">
      <c r="A44" s="28" t="s">
        <v>43</v>
      </c>
      <c r="B44" s="28">
        <v>9.2906753568840178E-2</v>
      </c>
    </row>
    <row r="45" spans="1:2" x14ac:dyDescent="0.25">
      <c r="A45" s="28" t="s">
        <v>44</v>
      </c>
      <c r="B45" s="28">
        <v>1.4059915602822799</v>
      </c>
    </row>
    <row r="46" spans="1:2" x14ac:dyDescent="0.25">
      <c r="A46" s="28" t="s">
        <v>45</v>
      </c>
      <c r="B46" s="28">
        <v>1.9686538935296141</v>
      </c>
    </row>
    <row r="47" spans="1:2" x14ac:dyDescent="0.25">
      <c r="A47" s="28" t="s">
        <v>46</v>
      </c>
      <c r="B47" s="28">
        <v>0.33187218784510503</v>
      </c>
    </row>
    <row r="48" spans="1:2" x14ac:dyDescent="0.25">
      <c r="A48" s="28" t="s">
        <v>47</v>
      </c>
      <c r="B48" s="28">
        <v>0.53727092978402957</v>
      </c>
    </row>
    <row r="49" spans="1:17" x14ac:dyDescent="0.25">
      <c r="A49" s="28" t="s">
        <v>48</v>
      </c>
      <c r="B49" s="28">
        <v>0.53064443046302978</v>
      </c>
    </row>
    <row r="50" spans="1:17" x14ac:dyDescent="0.25">
      <c r="A50" s="28" t="s">
        <v>49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</row>
    <row r="51" spans="1:17" x14ac:dyDescent="0.25">
      <c r="A51" s="28" t="s">
        <v>50</v>
      </c>
      <c r="B51" s="28" t="s">
        <v>39</v>
      </c>
      <c r="C51" s="28" t="s">
        <v>61</v>
      </c>
      <c r="D51" s="28" t="s">
        <v>25</v>
      </c>
      <c r="E51" s="28" t="s">
        <v>62</v>
      </c>
      <c r="F51" s="28" t="s">
        <v>4</v>
      </c>
      <c r="G51" s="28" t="s">
        <v>5</v>
      </c>
      <c r="H51" s="28" t="s">
        <v>6</v>
      </c>
      <c r="I51" s="28" t="s">
        <v>7</v>
      </c>
      <c r="J51" s="28" t="s">
        <v>8</v>
      </c>
      <c r="K51" s="28" t="s">
        <v>9</v>
      </c>
      <c r="L51" s="28" t="s">
        <v>10</v>
      </c>
      <c r="M51" s="28" t="s">
        <v>11</v>
      </c>
      <c r="N51" s="28" t="s">
        <v>12</v>
      </c>
      <c r="O51" s="28" t="s">
        <v>13</v>
      </c>
      <c r="P51" s="28" t="s">
        <v>14</v>
      </c>
      <c r="Q51" s="28" t="s">
        <v>15</v>
      </c>
    </row>
    <row r="52" spans="1:17" x14ac:dyDescent="0.25">
      <c r="A52" s="28" t="s">
        <v>51</v>
      </c>
      <c r="B52" s="28">
        <v>2.4208971844965751E-3</v>
      </c>
      <c r="C52" s="28">
        <v>8.5591809805520946E-2</v>
      </c>
      <c r="D52" s="28">
        <v>0.22930436653929781</v>
      </c>
      <c r="E52" s="28">
        <v>5.2741704565181229E-2</v>
      </c>
      <c r="F52" s="28">
        <v>249.76672550000009</v>
      </c>
      <c r="G52" s="28">
        <v>479.89056149999999</v>
      </c>
      <c r="H52" s="28">
        <v>364.82864350000011</v>
      </c>
      <c r="I52" s="28">
        <v>12.2955626165</v>
      </c>
      <c r="J52" s="28">
        <v>17.848992340999999</v>
      </c>
      <c r="K52" s="28">
        <v>15.072277478749999</v>
      </c>
      <c r="L52" s="28">
        <v>8.9164577028326164</v>
      </c>
      <c r="M52" s="28">
        <v>12.359365275439529</v>
      </c>
      <c r="N52" s="28">
        <v>10.637911489136069</v>
      </c>
      <c r="O52" s="28">
        <v>13.55782164</v>
      </c>
      <c r="P52" s="28">
        <v>16.820906520000001</v>
      </c>
      <c r="Q52" s="28">
        <v>15.189364080000001</v>
      </c>
    </row>
    <row r="53" spans="1:17" x14ac:dyDescent="0.25">
      <c r="A53" s="28" t="s">
        <v>52</v>
      </c>
      <c r="B53" s="28">
        <v>7.1416466942648943E-2</v>
      </c>
      <c r="C53" s="28">
        <v>0.17677672985052331</v>
      </c>
      <c r="D53" s="28">
        <v>0.29419454436564341</v>
      </c>
      <c r="E53" s="28">
        <v>8.761622162530612E-2</v>
      </c>
      <c r="F53" s="28">
        <v>133.82002700000001</v>
      </c>
      <c r="G53" s="28">
        <v>8886.8474270000006</v>
      </c>
      <c r="H53" s="28">
        <v>1033.1121925661021</v>
      </c>
      <c r="I53" s="28">
        <v>7.3735495879999986</v>
      </c>
      <c r="J53" s="28">
        <v>53.073411585000002</v>
      </c>
      <c r="K53" s="28">
        <v>16.691115671398311</v>
      </c>
      <c r="L53" s="28">
        <v>6.5265793156508716</v>
      </c>
      <c r="M53" s="28">
        <v>53.18619551181569</v>
      </c>
      <c r="N53" s="28">
        <v>15.012003429581251</v>
      </c>
      <c r="O53" s="28">
        <v>10.29114158</v>
      </c>
      <c r="P53" s="28">
        <v>115.5698464</v>
      </c>
      <c r="Q53" s="28">
        <v>28.590816850338989</v>
      </c>
    </row>
    <row r="54" spans="1:17" x14ac:dyDescent="0.25">
      <c r="A54" s="28" t="s">
        <v>53</v>
      </c>
      <c r="B54" s="28">
        <v>1.862880383470114</v>
      </c>
      <c r="C54" s="28">
        <v>0.2712163939235025</v>
      </c>
      <c r="D54" s="28">
        <v>0.33208814676407261</v>
      </c>
      <c r="E54" s="28">
        <v>0.1110803905940377</v>
      </c>
      <c r="F54" s="28">
        <v>78.530720960000011</v>
      </c>
      <c r="G54" s="28">
        <v>29779.903370000011</v>
      </c>
      <c r="H54" s="28">
        <v>2046.3893097132229</v>
      </c>
      <c r="I54" s="28">
        <v>6.1796089845000006</v>
      </c>
      <c r="J54" s="28">
        <v>80.773321175000007</v>
      </c>
      <c r="K54" s="28">
        <v>23.34587306645907</v>
      </c>
      <c r="L54" s="28">
        <v>4.9997104766884881</v>
      </c>
      <c r="M54" s="28">
        <v>97.361376593950183</v>
      </c>
      <c r="N54" s="28">
        <v>22.667736043054891</v>
      </c>
      <c r="O54" s="28">
        <v>9.6291547150000003</v>
      </c>
      <c r="P54" s="28">
        <v>199.6585479</v>
      </c>
      <c r="Q54" s="28">
        <v>47.338227892922681</v>
      </c>
    </row>
    <row r="55" spans="1:17" x14ac:dyDescent="0.25">
      <c r="A55" s="28" t="s">
        <v>54</v>
      </c>
      <c r="B55" s="28">
        <v>12.778705788365169</v>
      </c>
      <c r="C55" s="28">
        <v>0.360612191421609</v>
      </c>
      <c r="D55" s="28">
        <v>0.35399427211620449</v>
      </c>
      <c r="E55" s="28">
        <v>0.12589916769986109</v>
      </c>
      <c r="F55" s="28">
        <v>62.08894165000001</v>
      </c>
      <c r="G55" s="28">
        <v>93235.631690000009</v>
      </c>
      <c r="H55" s="28">
        <v>1935.255516233801</v>
      </c>
      <c r="I55" s="28">
        <v>4.9894729155000013</v>
      </c>
      <c r="J55" s="28">
        <v>132.96569661000001</v>
      </c>
      <c r="K55" s="28">
        <v>21.646700008939138</v>
      </c>
      <c r="L55" s="28">
        <v>4.4456185115103528</v>
      </c>
      <c r="M55" s="28">
        <v>172.27252628181239</v>
      </c>
      <c r="N55" s="28">
        <v>21.666034627347809</v>
      </c>
      <c r="O55" s="28">
        <v>9.6666610469999998</v>
      </c>
      <c r="P55" s="28">
        <v>318.53123049999999</v>
      </c>
      <c r="Q55" s="28">
        <v>47.6060197543</v>
      </c>
    </row>
    <row r="56" spans="1:17" x14ac:dyDescent="0.25">
      <c r="A56" s="28" t="s">
        <v>55</v>
      </c>
      <c r="B56" s="28">
        <v>26.249788171496359</v>
      </c>
      <c r="C56" s="28">
        <v>0.4525940932139948</v>
      </c>
      <c r="D56" s="28">
        <v>0.37858259999313731</v>
      </c>
      <c r="E56" s="28">
        <v>0.14388975642017551</v>
      </c>
      <c r="F56" s="28">
        <v>43.130421550000008</v>
      </c>
      <c r="G56" s="28">
        <v>97650.823400000023</v>
      </c>
      <c r="H56" s="28">
        <v>1807.6269237701199</v>
      </c>
      <c r="I56" s="28">
        <v>4.0097165155000001</v>
      </c>
      <c r="J56" s="28">
        <v>128.32354391499999</v>
      </c>
      <c r="K56" s="28">
        <v>19.295813814462299</v>
      </c>
      <c r="L56" s="28">
        <v>3.705244873775472</v>
      </c>
      <c r="M56" s="28">
        <v>176.3043461807095</v>
      </c>
      <c r="N56" s="28">
        <v>19.95831230487747</v>
      </c>
      <c r="O56" s="28">
        <v>9.1303729499999999</v>
      </c>
      <c r="P56" s="28">
        <v>299.9962364000001</v>
      </c>
      <c r="Q56" s="28">
        <v>46.329025840482387</v>
      </c>
    </row>
    <row r="57" spans="1:17" x14ac:dyDescent="0.25">
      <c r="A57" s="28" t="s">
        <v>56</v>
      </c>
      <c r="B57" s="28">
        <v>27.89841915413853</v>
      </c>
      <c r="C57" s="28">
        <v>0.54870841132111048</v>
      </c>
      <c r="D57" s="28">
        <v>0.40485870824446069</v>
      </c>
      <c r="E57" s="28">
        <v>0.16454809065083059</v>
      </c>
      <c r="F57" s="28">
        <v>35.44874861000001</v>
      </c>
      <c r="G57" s="28">
        <v>173392.68220000001</v>
      </c>
      <c r="H57" s="28">
        <v>1680.6278030274741</v>
      </c>
      <c r="I57" s="28">
        <v>3.782243304000001</v>
      </c>
      <c r="J57" s="28">
        <v>153.06774920000001</v>
      </c>
      <c r="K57" s="28">
        <v>16.929547848128411</v>
      </c>
      <c r="L57" s="28">
        <v>3.3591199941959369</v>
      </c>
      <c r="M57" s="28">
        <v>234.93106422136731</v>
      </c>
      <c r="N57" s="28">
        <v>17.952611209639279</v>
      </c>
      <c r="O57" s="28">
        <v>8.851950586000001</v>
      </c>
      <c r="P57" s="28">
        <v>412.07279779999999</v>
      </c>
      <c r="Q57" s="28">
        <v>43.929986267889412</v>
      </c>
    </row>
    <row r="58" spans="1:17" x14ac:dyDescent="0.25">
      <c r="A58" s="28" t="s">
        <v>57</v>
      </c>
      <c r="B58" s="28">
        <v>19.732732950831579</v>
      </c>
      <c r="C58" s="28">
        <v>0.64577088592005061</v>
      </c>
      <c r="D58" s="28">
        <v>0.43229573285730227</v>
      </c>
      <c r="E58" s="28">
        <v>0.18749347737068539</v>
      </c>
      <c r="F58" s="28">
        <v>34.615383299999998</v>
      </c>
      <c r="G58" s="28">
        <v>107713.6103</v>
      </c>
      <c r="H58" s="28">
        <v>1182.3600406617279</v>
      </c>
      <c r="I58" s="28">
        <v>3.50061746</v>
      </c>
      <c r="J58" s="28">
        <v>134.71167944999999</v>
      </c>
      <c r="K58" s="28">
        <v>13.54862006066559</v>
      </c>
      <c r="L58" s="28">
        <v>3.3194003552496181</v>
      </c>
      <c r="M58" s="28">
        <v>185.16562055370369</v>
      </c>
      <c r="N58" s="28">
        <v>14.354259089552199</v>
      </c>
      <c r="O58" s="28">
        <v>9.5279859610000024</v>
      </c>
      <c r="P58" s="28">
        <v>352.11135730000012</v>
      </c>
      <c r="Q58" s="28">
        <v>37.310306005732002</v>
      </c>
    </row>
    <row r="59" spans="1:17" x14ac:dyDescent="0.25">
      <c r="A59" s="28" t="s">
        <v>58</v>
      </c>
      <c r="B59" s="28">
        <v>9.1897257123489968</v>
      </c>
      <c r="C59" s="28">
        <v>0.74158268113724268</v>
      </c>
      <c r="D59" s="28">
        <v>0.45759583179408408</v>
      </c>
      <c r="E59" s="28">
        <v>0.20993479835512621</v>
      </c>
      <c r="F59" s="28">
        <v>31.412035880000008</v>
      </c>
      <c r="G59" s="28">
        <v>90496.287080000009</v>
      </c>
      <c r="H59" s="28">
        <v>812.70050449010807</v>
      </c>
      <c r="I59" s="28">
        <v>3.2798096410000008</v>
      </c>
      <c r="J59" s="28">
        <v>116.16179815</v>
      </c>
      <c r="K59" s="28">
        <v>10.728037016480441</v>
      </c>
      <c r="L59" s="28">
        <v>3.1620818404595341</v>
      </c>
      <c r="M59" s="28">
        <v>169.7229001652118</v>
      </c>
      <c r="N59" s="28">
        <v>11.276480670016531</v>
      </c>
      <c r="O59" s="28">
        <v>9.2191465690000012</v>
      </c>
      <c r="P59" s="28">
        <v>349.54198720000011</v>
      </c>
      <c r="Q59" s="28">
        <v>30.967702484401741</v>
      </c>
    </row>
    <row r="60" spans="1:17" x14ac:dyDescent="0.25">
      <c r="A60" s="28" t="s">
        <v>59</v>
      </c>
      <c r="B60" s="28">
        <v>2.1061805505120201</v>
      </c>
      <c r="C60" s="28">
        <v>0.83321668469206422</v>
      </c>
      <c r="D60" s="28">
        <v>0.47974986679801462</v>
      </c>
      <c r="E60" s="28">
        <v>0.230550714340435</v>
      </c>
      <c r="F60" s="28">
        <v>28.617085830000001</v>
      </c>
      <c r="G60" s="28">
        <v>48088.36598000001</v>
      </c>
      <c r="H60" s="28">
        <v>455.30990466250591</v>
      </c>
      <c r="I60" s="28">
        <v>3.2281145675</v>
      </c>
      <c r="J60" s="28">
        <v>89.470695335000002</v>
      </c>
      <c r="K60" s="28">
        <v>8.2901582620318965</v>
      </c>
      <c r="L60" s="28">
        <v>3.0181287801316681</v>
      </c>
      <c r="M60" s="28">
        <v>123.721470658323</v>
      </c>
      <c r="N60" s="28">
        <v>8.5266648350579182</v>
      </c>
      <c r="O60" s="28">
        <v>9.319288138000001</v>
      </c>
      <c r="P60" s="28">
        <v>258.5825921</v>
      </c>
      <c r="Q60" s="28">
        <v>24.753712548180459</v>
      </c>
    </row>
    <row r="61" spans="1:17" x14ac:dyDescent="0.25">
      <c r="A61" s="28" t="s">
        <v>60</v>
      </c>
      <c r="B61" s="28">
        <v>0.1077299247100976</v>
      </c>
      <c r="C61" s="28">
        <v>0.92447133726271813</v>
      </c>
      <c r="D61" s="28">
        <v>0.50020830094359225</v>
      </c>
      <c r="E61" s="28">
        <v>0.25043715818477802</v>
      </c>
      <c r="F61" s="28">
        <v>25.82213577000001</v>
      </c>
      <c r="G61" s="28">
        <v>7932.2374010000003</v>
      </c>
      <c r="H61" s="28">
        <v>241.63329133775289</v>
      </c>
      <c r="I61" s="28">
        <v>3.0141870079999999</v>
      </c>
      <c r="J61" s="28">
        <v>43.81447025500001</v>
      </c>
      <c r="K61" s="28">
        <v>6.3095641656235957</v>
      </c>
      <c r="L61" s="28">
        <v>2.8669567659752202</v>
      </c>
      <c r="M61" s="28">
        <v>50.248478427661048</v>
      </c>
      <c r="N61" s="28">
        <v>6.3373868619623162</v>
      </c>
      <c r="O61" s="28">
        <v>9.4693477599999998</v>
      </c>
      <c r="P61" s="28">
        <v>131.36664379999999</v>
      </c>
      <c r="Q61" s="28">
        <v>19.38613325898876</v>
      </c>
    </row>
    <row r="62" spans="1:17" x14ac:dyDescent="0.25">
      <c r="A62" s="28" t="s">
        <v>63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</row>
    <row r="63" spans="1:17" x14ac:dyDescent="0.25">
      <c r="A63" s="28" t="s">
        <v>64</v>
      </c>
      <c r="B63" s="28">
        <v>10</v>
      </c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</row>
    <row r="64" spans="1:17" x14ac:dyDescent="0.25">
      <c r="A64" s="28" t="s">
        <v>65</v>
      </c>
      <c r="B64" s="28">
        <v>161.29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</row>
    <row r="65" spans="1:17" x14ac:dyDescent="0.25">
      <c r="A65" s="28" t="s">
        <v>66</v>
      </c>
      <c r="B65" s="28">
        <v>25.85815160589285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</row>
    <row r="66" spans="1:17" x14ac:dyDescent="0.25">
      <c r="A66" s="28" t="s">
        <v>67</v>
      </c>
      <c r="B66" s="28">
        <v>99.573752711496709</v>
      </c>
    </row>
    <row r="67" spans="1:17" x14ac:dyDescent="0.25">
      <c r="A67" s="28" t="s">
        <v>68</v>
      </c>
      <c r="B67" s="28">
        <v>348.49117899322709</v>
      </c>
    </row>
    <row r="68" spans="1:17" x14ac:dyDescent="0.25">
      <c r="A68" s="28" t="s">
        <v>69</v>
      </c>
      <c r="B68" s="28"/>
    </row>
    <row r="69" spans="1:17" x14ac:dyDescent="0.25">
      <c r="A69" s="28" t="s">
        <v>110</v>
      </c>
      <c r="B69" s="28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9"/>
  <sheetViews>
    <sheetView workbookViewId="0">
      <selection activeCell="C18" sqref="C18:C20"/>
    </sheetView>
  </sheetViews>
  <sheetFormatPr defaultRowHeight="15" x14ac:dyDescent="0.25"/>
  <cols>
    <col min="1" max="1" width="75" bestFit="1" customWidth="1"/>
    <col min="2" max="2" width="12" bestFit="1" customWidth="1"/>
  </cols>
  <sheetData>
    <row r="1" spans="1:2" x14ac:dyDescent="0.25">
      <c r="A1" t="s">
        <v>112</v>
      </c>
    </row>
    <row r="2" spans="1:2" x14ac:dyDescent="0.25">
      <c r="A2" s="29" t="s">
        <v>0</v>
      </c>
      <c r="B2" s="29"/>
    </row>
    <row r="3" spans="1:2" x14ac:dyDescent="0.25">
      <c r="A3" s="29" t="s">
        <v>1</v>
      </c>
      <c r="B3" s="29">
        <v>1.27</v>
      </c>
    </row>
    <row r="4" spans="1:2" x14ac:dyDescent="0.25">
      <c r="A4" s="29" t="s">
        <v>2</v>
      </c>
      <c r="B4" s="29">
        <v>2</v>
      </c>
    </row>
    <row r="5" spans="1:2" x14ac:dyDescent="0.25">
      <c r="A5" s="29" t="s">
        <v>3</v>
      </c>
      <c r="B5" s="29">
        <v>6.4516</v>
      </c>
    </row>
    <row r="6" spans="1:2" x14ac:dyDescent="0.25">
      <c r="A6" s="29" t="s">
        <v>4</v>
      </c>
      <c r="B6" s="29">
        <v>25.82213577000001</v>
      </c>
    </row>
    <row r="7" spans="1:2" x14ac:dyDescent="0.25">
      <c r="A7" s="29" t="s">
        <v>5</v>
      </c>
      <c r="B7" s="29">
        <v>280403.43339999998</v>
      </c>
    </row>
    <row r="8" spans="1:2" x14ac:dyDescent="0.25">
      <c r="A8" s="29" t="s">
        <v>6</v>
      </c>
      <c r="B8" s="29">
        <v>687.09267262562241</v>
      </c>
    </row>
    <row r="9" spans="1:2" x14ac:dyDescent="0.25">
      <c r="A9" s="29" t="s">
        <v>7</v>
      </c>
      <c r="B9" s="29">
        <v>5.7339135319504404</v>
      </c>
    </row>
    <row r="10" spans="1:2" x14ac:dyDescent="0.25">
      <c r="A10" s="29" t="s">
        <v>8</v>
      </c>
      <c r="B10" s="29">
        <v>597.51212530323812</v>
      </c>
    </row>
    <row r="11" spans="1:2" x14ac:dyDescent="0.25">
      <c r="A11" s="29" t="s">
        <v>9</v>
      </c>
      <c r="B11" s="29">
        <v>24.658906177677821</v>
      </c>
    </row>
    <row r="12" spans="1:2" x14ac:dyDescent="0.25">
      <c r="A12" s="29" t="s">
        <v>10</v>
      </c>
      <c r="B12" s="29">
        <v>2.8669567659752202</v>
      </c>
    </row>
    <row r="13" spans="1:2" x14ac:dyDescent="0.25">
      <c r="A13" s="29" t="s">
        <v>11</v>
      </c>
      <c r="B13" s="29">
        <v>298.75606265161912</v>
      </c>
    </row>
    <row r="14" spans="1:2" x14ac:dyDescent="0.25">
      <c r="A14" s="29" t="s">
        <v>12</v>
      </c>
      <c r="B14" s="29">
        <v>12.32945308883891</v>
      </c>
    </row>
    <row r="15" spans="1:2" x14ac:dyDescent="0.25">
      <c r="A15" s="29" t="s">
        <v>13</v>
      </c>
      <c r="B15" s="29">
        <v>8.0570163510000015</v>
      </c>
    </row>
    <row r="16" spans="1:2" x14ac:dyDescent="0.25">
      <c r="A16" s="29" t="s">
        <v>14</v>
      </c>
      <c r="B16" s="29">
        <v>561.76479890000007</v>
      </c>
    </row>
    <row r="17" spans="1:3" x14ac:dyDescent="0.25">
      <c r="A17" s="29" t="s">
        <v>15</v>
      </c>
      <c r="B17" s="29">
        <v>30.51614996879637</v>
      </c>
    </row>
    <row r="18" spans="1:3" x14ac:dyDescent="0.25">
      <c r="A18" s="29" t="s">
        <v>16</v>
      </c>
      <c r="B18" s="29">
        <v>9.1346952871669007</v>
      </c>
      <c r="C18" s="43" t="s">
        <v>180</v>
      </c>
    </row>
    <row r="19" spans="1:3" x14ac:dyDescent="0.25">
      <c r="A19" s="29" t="s">
        <v>17</v>
      </c>
      <c r="B19" s="29">
        <v>0.87537612544472554</v>
      </c>
      <c r="C19" s="43">
        <f>B19/B18</f>
        <v>9.5829811277286833E-2</v>
      </c>
    </row>
    <row r="20" spans="1:3" x14ac:dyDescent="0.25">
      <c r="A20" s="29" t="s">
        <v>18</v>
      </c>
      <c r="B20" s="29">
        <v>8.25931916172215</v>
      </c>
      <c r="C20" s="43">
        <f>B20/B18</f>
        <v>0.90417018872271038</v>
      </c>
    </row>
    <row r="21" spans="1:3" x14ac:dyDescent="0.25">
      <c r="A21" s="29" t="s">
        <v>19</v>
      </c>
      <c r="B21" s="29">
        <v>210.493914457047</v>
      </c>
    </row>
    <row r="22" spans="1:3" x14ac:dyDescent="0.25">
      <c r="A22" s="29" t="s">
        <v>20</v>
      </c>
      <c r="B22" s="29">
        <v>1509.179860002293</v>
      </c>
    </row>
    <row r="23" spans="1:3" x14ac:dyDescent="0.25">
      <c r="A23" s="29" t="s">
        <v>21</v>
      </c>
      <c r="B23" s="29">
        <v>20.531280432501759</v>
      </c>
    </row>
    <row r="24" spans="1:3" x14ac:dyDescent="0.25">
      <c r="A24" s="29" t="s">
        <v>22</v>
      </c>
      <c r="B24" s="29">
        <v>47.739093110650039</v>
      </c>
    </row>
    <row r="25" spans="1:3" x14ac:dyDescent="0.25">
      <c r="A25" s="29" t="s">
        <v>23</v>
      </c>
      <c r="B25" s="29">
        <v>7.804043227683942</v>
      </c>
    </row>
    <row r="26" spans="1:3" x14ac:dyDescent="0.25">
      <c r="A26" s="29" t="s">
        <v>24</v>
      </c>
      <c r="B26" s="29">
        <v>20.135351448245999</v>
      </c>
    </row>
    <row r="27" spans="1:3" x14ac:dyDescent="0.25">
      <c r="A27" s="29" t="s">
        <v>25</v>
      </c>
      <c r="B27" s="29">
        <v>0.40849056713961168</v>
      </c>
    </row>
    <row r="28" spans="1:3" x14ac:dyDescent="0.25">
      <c r="A28" s="29" t="s">
        <v>26</v>
      </c>
      <c r="B28" s="29">
        <v>0.42338850129590327</v>
      </c>
    </row>
    <row r="29" spans="1:3" x14ac:dyDescent="0.25">
      <c r="A29" s="29" t="s">
        <v>27</v>
      </c>
      <c r="B29" s="29">
        <v>0.38279305832668142</v>
      </c>
    </row>
    <row r="30" spans="1:3" x14ac:dyDescent="0.25">
      <c r="A30" s="29" t="s">
        <v>28</v>
      </c>
      <c r="B30" s="29">
        <v>0.1668645434420416</v>
      </c>
    </row>
    <row r="31" spans="1:3" x14ac:dyDescent="0.25">
      <c r="A31" s="29" t="s">
        <v>29</v>
      </c>
      <c r="B31" s="29">
        <v>0.17925782302959109</v>
      </c>
    </row>
    <row r="32" spans="1:3" x14ac:dyDescent="0.25">
      <c r="A32" s="29" t="s">
        <v>30</v>
      </c>
      <c r="B32" s="29">
        <v>0.14653052550309409</v>
      </c>
    </row>
    <row r="33" spans="1:2" x14ac:dyDescent="0.25">
      <c r="A33" s="29" t="s">
        <v>31</v>
      </c>
      <c r="B33" s="29">
        <v>0.1187011647466964</v>
      </c>
    </row>
    <row r="34" spans="1:2" x14ac:dyDescent="0.25">
      <c r="A34" s="29" t="s">
        <v>32</v>
      </c>
      <c r="B34" s="29">
        <v>0.15598166467795291</v>
      </c>
    </row>
    <row r="35" spans="1:2" x14ac:dyDescent="0.25">
      <c r="A35" s="29" t="s">
        <v>33</v>
      </c>
      <c r="B35" s="29">
        <v>5.4395874799544233E-2</v>
      </c>
    </row>
    <row r="36" spans="1:2" x14ac:dyDescent="0.25">
      <c r="A36" s="29" t="s">
        <v>34</v>
      </c>
      <c r="B36" s="29">
        <v>4883216.04</v>
      </c>
    </row>
    <row r="37" spans="1:2" x14ac:dyDescent="0.25">
      <c r="A37" s="29" t="s">
        <v>35</v>
      </c>
      <c r="B37" s="29">
        <v>1.193303619703519E-2</v>
      </c>
    </row>
    <row r="38" spans="1:2" x14ac:dyDescent="0.25">
      <c r="A38" s="29" t="s">
        <v>36</v>
      </c>
      <c r="B38" s="29">
        <v>3283.6900692438908</v>
      </c>
    </row>
    <row r="39" spans="1:2" x14ac:dyDescent="0.25">
      <c r="A39" s="29" t="s">
        <v>37</v>
      </c>
      <c r="B39" s="29">
        <v>1313.476027697556</v>
      </c>
    </row>
    <row r="40" spans="1:2" x14ac:dyDescent="0.25">
      <c r="A40" s="29" t="s">
        <v>38</v>
      </c>
      <c r="B40" s="29" t="s">
        <v>39</v>
      </c>
    </row>
    <row r="41" spans="1:2" x14ac:dyDescent="0.25">
      <c r="A41" s="29" t="s">
        <v>40</v>
      </c>
      <c r="B41" s="29">
        <v>0</v>
      </c>
    </row>
    <row r="42" spans="1:2" x14ac:dyDescent="0.25">
      <c r="A42" s="29" t="s">
        <v>41</v>
      </c>
      <c r="B42" s="29">
        <v>0</v>
      </c>
    </row>
    <row r="43" spans="1:2" x14ac:dyDescent="0.25">
      <c r="A43" s="29" t="s">
        <v>42</v>
      </c>
      <c r="B43" s="29">
        <v>2.5487897926844251E-3</v>
      </c>
    </row>
    <row r="44" spans="1:2" x14ac:dyDescent="0.25">
      <c r="A44" s="29" t="s">
        <v>43</v>
      </c>
      <c r="B44" s="29">
        <v>0.87282733565204085</v>
      </c>
    </row>
    <row r="45" spans="1:2" x14ac:dyDescent="0.25">
      <c r="A45" s="29" t="s">
        <v>44</v>
      </c>
      <c r="B45" s="29">
        <v>5.480308072336431</v>
      </c>
    </row>
    <row r="46" spans="1:2" x14ac:dyDescent="0.25">
      <c r="A46" s="29" t="s">
        <v>45</v>
      </c>
      <c r="B46" s="29">
        <v>2.4738065451683431</v>
      </c>
    </row>
    <row r="47" spans="1:2" x14ac:dyDescent="0.25">
      <c r="A47" s="29" t="s">
        <v>46</v>
      </c>
      <c r="B47" s="29">
        <v>0.30520454421740489</v>
      </c>
    </row>
    <row r="48" spans="1:2" x14ac:dyDescent="0.25">
      <c r="A48" s="29" t="s">
        <v>47</v>
      </c>
      <c r="B48" s="29">
        <v>0.5602939833086511</v>
      </c>
    </row>
    <row r="49" spans="1:17" x14ac:dyDescent="0.25">
      <c r="A49" s="29" t="s">
        <v>48</v>
      </c>
      <c r="B49" s="29">
        <v>0.55529482140235809</v>
      </c>
    </row>
    <row r="50" spans="1:17" x14ac:dyDescent="0.25">
      <c r="A50" s="29" t="s">
        <v>49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</row>
    <row r="51" spans="1:17" x14ac:dyDescent="0.25">
      <c r="A51" s="29" t="s">
        <v>50</v>
      </c>
      <c r="B51" s="29" t="s">
        <v>39</v>
      </c>
      <c r="C51" s="29" t="s">
        <v>61</v>
      </c>
      <c r="D51" s="29" t="s">
        <v>25</v>
      </c>
      <c r="E51" s="29" t="s">
        <v>62</v>
      </c>
      <c r="F51" s="29" t="s">
        <v>4</v>
      </c>
      <c r="G51" s="29" t="s">
        <v>5</v>
      </c>
      <c r="H51" s="29" t="s">
        <v>6</v>
      </c>
      <c r="I51" s="29" t="s">
        <v>7</v>
      </c>
      <c r="J51" s="29" t="s">
        <v>8</v>
      </c>
      <c r="K51" s="29" t="s">
        <v>9</v>
      </c>
      <c r="L51" s="29" t="s">
        <v>10</v>
      </c>
      <c r="M51" s="29" t="s">
        <v>11</v>
      </c>
      <c r="N51" s="29" t="s">
        <v>12</v>
      </c>
      <c r="O51" s="29" t="s">
        <v>13</v>
      </c>
      <c r="P51" s="29" t="s">
        <v>14</v>
      </c>
      <c r="Q51" s="29" t="s">
        <v>15</v>
      </c>
    </row>
    <row r="52" spans="1:17" x14ac:dyDescent="0.25">
      <c r="A52" s="29" t="s">
        <v>51</v>
      </c>
      <c r="B52" s="29">
        <v>1.6113023189862969E-4</v>
      </c>
      <c r="C52" s="29">
        <v>9.5653236489492963E-2</v>
      </c>
      <c r="D52" s="29">
        <v>0.33406713699358698</v>
      </c>
      <c r="E52" s="29">
        <v>0.11160085201909201</v>
      </c>
      <c r="F52" s="29">
        <v>1492.296173</v>
      </c>
      <c r="G52" s="29">
        <v>1492.296173</v>
      </c>
      <c r="H52" s="29">
        <v>1492.296173</v>
      </c>
      <c r="I52" s="29">
        <v>19.4841884065</v>
      </c>
      <c r="J52" s="29">
        <v>19.4841884065</v>
      </c>
      <c r="K52" s="29">
        <v>19.4841884065</v>
      </c>
      <c r="L52" s="29">
        <v>21.794784352687149</v>
      </c>
      <c r="M52" s="29">
        <v>21.794784352687149</v>
      </c>
      <c r="N52" s="29">
        <v>21.794784352687149</v>
      </c>
      <c r="O52" s="29">
        <v>45.747377170000007</v>
      </c>
      <c r="P52" s="29">
        <v>45.747377170000007</v>
      </c>
      <c r="Q52" s="29">
        <v>45.747377170000007</v>
      </c>
    </row>
    <row r="53" spans="1:17" x14ac:dyDescent="0.25">
      <c r="A53" s="29" t="s">
        <v>52</v>
      </c>
      <c r="B53" s="29">
        <v>3.2387176611624581E-2</v>
      </c>
      <c r="C53" s="29">
        <v>0.17630179933292231</v>
      </c>
      <c r="D53" s="29">
        <v>0.29065261242262341</v>
      </c>
      <c r="E53" s="29">
        <v>8.5873153036825356E-2</v>
      </c>
      <c r="F53" s="29">
        <v>72.238757620000001</v>
      </c>
      <c r="G53" s="29">
        <v>47526.197650000009</v>
      </c>
      <c r="H53" s="29">
        <v>1530.2180531523391</v>
      </c>
      <c r="I53" s="29">
        <v>7.0956929075000019</v>
      </c>
      <c r="J53" s="29">
        <v>107.113391565</v>
      </c>
      <c r="K53" s="29">
        <v>18.045671153788561</v>
      </c>
      <c r="L53" s="29">
        <v>4.7952383377764072</v>
      </c>
      <c r="M53" s="29">
        <v>122.9961729677791</v>
      </c>
      <c r="N53" s="29">
        <v>16.851827174180819</v>
      </c>
      <c r="O53" s="29">
        <v>8.0570163510000015</v>
      </c>
      <c r="P53" s="29">
        <v>231.88601820000011</v>
      </c>
      <c r="Q53" s="29">
        <v>32.04288997695523</v>
      </c>
    </row>
    <row r="54" spans="1:17" x14ac:dyDescent="0.25">
      <c r="A54" s="29" t="s">
        <v>53</v>
      </c>
      <c r="B54" s="29">
        <v>0.85672944300501441</v>
      </c>
      <c r="C54" s="29">
        <v>0.27160500592113312</v>
      </c>
      <c r="D54" s="29">
        <v>0.3217907282956709</v>
      </c>
      <c r="E54" s="29">
        <v>0.10431129278566791</v>
      </c>
      <c r="F54" s="29">
        <v>62.775548290000017</v>
      </c>
      <c r="G54" s="29">
        <v>30848.84379000001</v>
      </c>
      <c r="H54" s="29">
        <v>1197.959098027331</v>
      </c>
      <c r="I54" s="29">
        <v>5.7527123160000002</v>
      </c>
      <c r="J54" s="29">
        <v>95.578370645000007</v>
      </c>
      <c r="K54" s="29">
        <v>17.534514088441789</v>
      </c>
      <c r="L54" s="29">
        <v>4.4701317241570147</v>
      </c>
      <c r="M54" s="29">
        <v>99.093349704692287</v>
      </c>
      <c r="N54" s="29">
        <v>16.551253796999632</v>
      </c>
      <c r="O54" s="29">
        <v>8.4962361089999998</v>
      </c>
      <c r="P54" s="29">
        <v>197.94447829999999</v>
      </c>
      <c r="Q54" s="29">
        <v>33.695401973562717</v>
      </c>
    </row>
    <row r="55" spans="1:17" x14ac:dyDescent="0.25">
      <c r="A55" s="29" t="s">
        <v>54</v>
      </c>
      <c r="B55" s="29">
        <v>8.1336929760109307</v>
      </c>
      <c r="C55" s="29">
        <v>0.36420287475521229</v>
      </c>
      <c r="D55" s="29">
        <v>0.35097584858748021</v>
      </c>
      <c r="E55" s="29">
        <v>0.1236940068447135</v>
      </c>
      <c r="F55" s="29">
        <v>41.430475510000008</v>
      </c>
      <c r="G55" s="29">
        <v>79951.151570000016</v>
      </c>
      <c r="H55" s="29">
        <v>1057.1891337994789</v>
      </c>
      <c r="I55" s="29">
        <v>4.4167915440000014</v>
      </c>
      <c r="J55" s="29">
        <v>125.56599056500001</v>
      </c>
      <c r="K55" s="29">
        <v>16.39811123778416</v>
      </c>
      <c r="L55" s="29">
        <v>3.6314914214587408</v>
      </c>
      <c r="M55" s="29">
        <v>159.5281854610956</v>
      </c>
      <c r="N55" s="29">
        <v>16.093023070259331</v>
      </c>
      <c r="O55" s="29">
        <v>8.1898257800000014</v>
      </c>
      <c r="P55" s="29">
        <v>274.44133019999998</v>
      </c>
      <c r="Q55" s="29">
        <v>35.175177348024548</v>
      </c>
    </row>
    <row r="56" spans="1:17" x14ac:dyDescent="0.25">
      <c r="A56" s="29" t="s">
        <v>55</v>
      </c>
      <c r="B56" s="29">
        <v>24.054004408523149</v>
      </c>
      <c r="C56" s="29">
        <v>0.45508303070337558</v>
      </c>
      <c r="D56" s="29">
        <v>0.37840349817371538</v>
      </c>
      <c r="E56" s="29">
        <v>0.14364579263791849</v>
      </c>
      <c r="F56" s="29">
        <v>43.032186359999997</v>
      </c>
      <c r="G56" s="29">
        <v>193048.2648</v>
      </c>
      <c r="H56" s="29">
        <v>874.09635637023212</v>
      </c>
      <c r="I56" s="29">
        <v>4.065469019</v>
      </c>
      <c r="J56" s="29">
        <v>179.18827304999999</v>
      </c>
      <c r="K56" s="29">
        <v>14.33293221632632</v>
      </c>
      <c r="L56" s="29">
        <v>3.7010228778665062</v>
      </c>
      <c r="M56" s="29">
        <v>247.88943341027331</v>
      </c>
      <c r="N56" s="29">
        <v>14.51321918628074</v>
      </c>
      <c r="O56" s="29">
        <v>8.7018170460000004</v>
      </c>
      <c r="P56" s="29">
        <v>455.31443209999998</v>
      </c>
      <c r="Q56" s="29">
        <v>33.969642696366513</v>
      </c>
    </row>
    <row r="57" spans="1:17" x14ac:dyDescent="0.25">
      <c r="A57" s="29" t="s">
        <v>56</v>
      </c>
      <c r="B57" s="29">
        <v>30.088976114054422</v>
      </c>
      <c r="C57" s="29">
        <v>0.54943332639592424</v>
      </c>
      <c r="D57" s="29">
        <v>0.40620971593392319</v>
      </c>
      <c r="E57" s="29">
        <v>0.1654830296446658</v>
      </c>
      <c r="F57" s="29">
        <v>35.285419370000007</v>
      </c>
      <c r="G57" s="29">
        <v>171608.60360000009</v>
      </c>
      <c r="H57" s="29">
        <v>708.70329706185828</v>
      </c>
      <c r="I57" s="29">
        <v>3.7240211925</v>
      </c>
      <c r="J57" s="29">
        <v>152.31984109999999</v>
      </c>
      <c r="K57" s="29">
        <v>12.29172072527799</v>
      </c>
      <c r="L57" s="29">
        <v>3.3513725283250779</v>
      </c>
      <c r="M57" s="29">
        <v>233.71930831678259</v>
      </c>
      <c r="N57" s="29">
        <v>12.68791790458455</v>
      </c>
      <c r="O57" s="29">
        <v>8.9978348050000001</v>
      </c>
      <c r="P57" s="29">
        <v>421.62598889999998</v>
      </c>
      <c r="Q57" s="29">
        <v>31.656580747183192</v>
      </c>
    </row>
    <row r="58" spans="1:17" x14ac:dyDescent="0.25">
      <c r="A58" s="29" t="s">
        <v>57</v>
      </c>
      <c r="B58" s="29">
        <v>23.061281049795689</v>
      </c>
      <c r="C58" s="29">
        <v>0.64591919318228141</v>
      </c>
      <c r="D58" s="29">
        <v>0.43389940953042488</v>
      </c>
      <c r="E58" s="29">
        <v>0.18873711691361381</v>
      </c>
      <c r="F58" s="29">
        <v>31.902097870000009</v>
      </c>
      <c r="G58" s="29">
        <v>218509.84229999999</v>
      </c>
      <c r="H58" s="29">
        <v>523.65263076508552</v>
      </c>
      <c r="I58" s="29">
        <v>3.4947683155</v>
      </c>
      <c r="J58" s="29">
        <v>163.92480850000001</v>
      </c>
      <c r="K58" s="29">
        <v>10.165002572243759</v>
      </c>
      <c r="L58" s="29">
        <v>3.1866523409408591</v>
      </c>
      <c r="M58" s="29">
        <v>263.73062589041689</v>
      </c>
      <c r="N58" s="29">
        <v>10.52065045788445</v>
      </c>
      <c r="O58" s="29">
        <v>9.0049755860000005</v>
      </c>
      <c r="P58" s="29">
        <v>499.20449180000003</v>
      </c>
      <c r="Q58" s="29">
        <v>27.909592426675399</v>
      </c>
    </row>
    <row r="59" spans="1:17" x14ac:dyDescent="0.25">
      <c r="A59" s="29" t="s">
        <v>58</v>
      </c>
      <c r="B59" s="29">
        <v>11.19774546579527</v>
      </c>
      <c r="C59" s="29">
        <v>0.74133071618376745</v>
      </c>
      <c r="D59" s="29">
        <v>0.45912551741698993</v>
      </c>
      <c r="E59" s="29">
        <v>0.21119196590118289</v>
      </c>
      <c r="F59" s="29">
        <v>28.22525903</v>
      </c>
      <c r="G59" s="29">
        <v>280403.43339999998</v>
      </c>
      <c r="H59" s="29">
        <v>355.87951987345389</v>
      </c>
      <c r="I59" s="29">
        <v>3.081666605500001</v>
      </c>
      <c r="J59" s="29">
        <v>188.93485095</v>
      </c>
      <c r="K59" s="29">
        <v>8.3119421773222903</v>
      </c>
      <c r="L59" s="29">
        <v>2.99739536753951</v>
      </c>
      <c r="M59" s="29">
        <v>298.75606265161912</v>
      </c>
      <c r="N59" s="29">
        <v>8.5317476165871682</v>
      </c>
      <c r="O59" s="29">
        <v>9.1018512440000006</v>
      </c>
      <c r="P59" s="29">
        <v>561.76479890000007</v>
      </c>
      <c r="Q59" s="29">
        <v>23.970100362061601</v>
      </c>
    </row>
    <row r="60" spans="1:17" x14ac:dyDescent="0.25">
      <c r="A60" s="29" t="s">
        <v>59</v>
      </c>
      <c r="B60" s="29">
        <v>2.4714154968611828</v>
      </c>
      <c r="C60" s="29">
        <v>0.83246273972098539</v>
      </c>
      <c r="D60" s="29">
        <v>0.47966094885022548</v>
      </c>
      <c r="E60" s="29">
        <v>0.2303998584795717</v>
      </c>
      <c r="F60" s="29">
        <v>28.617085830000001</v>
      </c>
      <c r="G60" s="29">
        <v>66488.141480000006</v>
      </c>
      <c r="H60" s="29">
        <v>246.45950751767251</v>
      </c>
      <c r="I60" s="29">
        <v>3.228114567</v>
      </c>
      <c r="J60" s="29">
        <v>112.99030215000001</v>
      </c>
      <c r="K60" s="29">
        <v>7.0493773763103738</v>
      </c>
      <c r="L60" s="29">
        <v>3.0181287801316681</v>
      </c>
      <c r="M60" s="29">
        <v>145.47794591301661</v>
      </c>
      <c r="N60" s="29">
        <v>7.1616857576803001</v>
      </c>
      <c r="O60" s="29">
        <v>9.319288138000001</v>
      </c>
      <c r="P60" s="29">
        <v>338.97881050000012</v>
      </c>
      <c r="Q60" s="29">
        <v>21.076820562161501</v>
      </c>
    </row>
    <row r="61" spans="1:17" x14ac:dyDescent="0.25">
      <c r="A61" s="29" t="s">
        <v>60</v>
      </c>
      <c r="B61" s="29">
        <v>0.1036067391108189</v>
      </c>
      <c r="C61" s="29">
        <v>0.92554924661684645</v>
      </c>
      <c r="D61" s="29">
        <v>0.49929006391299219</v>
      </c>
      <c r="E61" s="29">
        <v>0.2495107072096546</v>
      </c>
      <c r="F61" s="29">
        <v>25.82213577000001</v>
      </c>
      <c r="G61" s="29">
        <v>3516.8945220000001</v>
      </c>
      <c r="H61" s="29">
        <v>138.6193598159409</v>
      </c>
      <c r="I61" s="29">
        <v>3.0141870074999999</v>
      </c>
      <c r="J61" s="29">
        <v>29.985170230000001</v>
      </c>
      <c r="K61" s="29">
        <v>5.7914331059167958</v>
      </c>
      <c r="L61" s="29">
        <v>2.8669567659752202</v>
      </c>
      <c r="M61" s="29">
        <v>33.458366592202573</v>
      </c>
      <c r="N61" s="29">
        <v>5.7655069998487622</v>
      </c>
      <c r="O61" s="29">
        <v>9.4693477589999997</v>
      </c>
      <c r="P61" s="29">
        <v>90.558179170000003</v>
      </c>
      <c r="Q61" s="29">
        <v>17.81983789215397</v>
      </c>
    </row>
    <row r="62" spans="1:17" x14ac:dyDescent="0.25">
      <c r="A62" s="29" t="s">
        <v>63</v>
      </c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</row>
    <row r="63" spans="1:17" x14ac:dyDescent="0.25">
      <c r="A63" s="29" t="s">
        <v>64</v>
      </c>
      <c r="B63" s="29">
        <v>10</v>
      </c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</row>
    <row r="64" spans="1:17" x14ac:dyDescent="0.25">
      <c r="A64" s="29" t="s">
        <v>65</v>
      </c>
      <c r="B64" s="29">
        <v>161.29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</row>
    <row r="65" spans="1:17" x14ac:dyDescent="0.25">
      <c r="A65" s="29" t="s">
        <v>66</v>
      </c>
      <c r="B65" s="29">
        <v>39.78071215697242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</row>
    <row r="66" spans="1:17" x14ac:dyDescent="0.25">
      <c r="A66" s="29" t="s">
        <v>67</v>
      </c>
      <c r="B66" s="29">
        <v>80.622475570032606</v>
      </c>
    </row>
    <row r="67" spans="1:17" x14ac:dyDescent="0.25">
      <c r="A67" s="29" t="s">
        <v>68</v>
      </c>
      <c r="B67" s="29">
        <v>488.08354196477228</v>
      </c>
    </row>
    <row r="68" spans="1:17" x14ac:dyDescent="0.25">
      <c r="A68" s="29" t="s">
        <v>69</v>
      </c>
      <c r="B68" s="29"/>
    </row>
    <row r="69" spans="1:17" x14ac:dyDescent="0.25">
      <c r="A69" s="29" t="s">
        <v>111</v>
      </c>
      <c r="B69" s="29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9"/>
  <sheetViews>
    <sheetView workbookViewId="0">
      <selection activeCell="C18" sqref="C18:C20"/>
    </sheetView>
  </sheetViews>
  <sheetFormatPr defaultRowHeight="15" x14ac:dyDescent="0.25"/>
  <cols>
    <col min="1" max="1" width="75" bestFit="1" customWidth="1"/>
    <col min="2" max="2" width="12" bestFit="1" customWidth="1"/>
    <col min="3" max="3" width="16.85546875" bestFit="1" customWidth="1"/>
    <col min="4" max="4" width="13.28515625" bestFit="1" customWidth="1"/>
    <col min="5" max="5" width="21.42578125" bestFit="1" customWidth="1"/>
    <col min="6" max="6" width="26.5703125" bestFit="1" customWidth="1"/>
    <col min="7" max="7" width="30.28515625" bestFit="1" customWidth="1"/>
    <col min="8" max="8" width="26.28515625" bestFit="1" customWidth="1"/>
    <col min="9" max="9" width="28.85546875" bestFit="1" customWidth="1"/>
    <col min="10" max="10" width="32.5703125" bestFit="1" customWidth="1"/>
    <col min="11" max="11" width="28.5703125" bestFit="1" customWidth="1"/>
    <col min="12" max="12" width="26.140625" bestFit="1" customWidth="1"/>
    <col min="13" max="13" width="29.85546875" bestFit="1" customWidth="1"/>
    <col min="14" max="14" width="25.85546875" bestFit="1" customWidth="1"/>
    <col min="15" max="15" width="29.85546875" bestFit="1" customWidth="1"/>
    <col min="16" max="16" width="33.42578125" bestFit="1" customWidth="1"/>
    <col min="17" max="17" width="29.42578125" bestFit="1" customWidth="1"/>
  </cols>
  <sheetData>
    <row r="1" spans="1:2" x14ac:dyDescent="0.25">
      <c r="A1" t="s">
        <v>113</v>
      </c>
    </row>
    <row r="2" spans="1:2" x14ac:dyDescent="0.25">
      <c r="A2" s="30" t="s">
        <v>0</v>
      </c>
      <c r="B2" s="30"/>
    </row>
    <row r="3" spans="1:2" x14ac:dyDescent="0.25">
      <c r="A3" s="30" t="s">
        <v>1</v>
      </c>
      <c r="B3" s="30">
        <v>1.27</v>
      </c>
    </row>
    <row r="4" spans="1:2" x14ac:dyDescent="0.25">
      <c r="A4" s="30" t="s">
        <v>2</v>
      </c>
      <c r="B4" s="30">
        <v>2</v>
      </c>
    </row>
    <row r="5" spans="1:2" x14ac:dyDescent="0.25">
      <c r="A5" s="30" t="s">
        <v>3</v>
      </c>
      <c r="B5" s="30">
        <v>6.4516</v>
      </c>
    </row>
    <row r="6" spans="1:2" x14ac:dyDescent="0.25">
      <c r="A6" s="30" t="s">
        <v>4</v>
      </c>
      <c r="B6" s="30">
        <v>25.82213577000001</v>
      </c>
    </row>
    <row r="7" spans="1:2" x14ac:dyDescent="0.25">
      <c r="A7" s="30" t="s">
        <v>5</v>
      </c>
      <c r="B7" s="30">
        <v>2982101.2519999999</v>
      </c>
    </row>
    <row r="8" spans="1:2" x14ac:dyDescent="0.25">
      <c r="A8" s="30" t="s">
        <v>6</v>
      </c>
      <c r="B8" s="30">
        <v>811.45991952006511</v>
      </c>
    </row>
    <row r="9" spans="1:2" x14ac:dyDescent="0.25">
      <c r="A9" s="30" t="s">
        <v>7</v>
      </c>
      <c r="B9" s="30">
        <v>5.7339135319504404</v>
      </c>
    </row>
    <row r="10" spans="1:2" x14ac:dyDescent="0.25">
      <c r="A10" s="30" t="s">
        <v>8</v>
      </c>
      <c r="B10" s="30">
        <v>1948.5710765714041</v>
      </c>
    </row>
    <row r="11" spans="1:2" x14ac:dyDescent="0.25">
      <c r="A11" s="30" t="s">
        <v>9</v>
      </c>
      <c r="B11" s="30">
        <v>24.789150528938521</v>
      </c>
    </row>
    <row r="12" spans="1:2" x14ac:dyDescent="0.25">
      <c r="A12" s="30" t="s">
        <v>10</v>
      </c>
      <c r="B12" s="30">
        <v>2.8669567659752202</v>
      </c>
    </row>
    <row r="13" spans="1:2" x14ac:dyDescent="0.25">
      <c r="A13" s="30" t="s">
        <v>11</v>
      </c>
      <c r="B13" s="30">
        <v>974.28553828570182</v>
      </c>
    </row>
    <row r="14" spans="1:2" x14ac:dyDescent="0.25">
      <c r="A14" s="30" t="s">
        <v>12</v>
      </c>
      <c r="B14" s="30">
        <v>12.39457526446926</v>
      </c>
    </row>
    <row r="15" spans="1:2" x14ac:dyDescent="0.25">
      <c r="A15" s="30" t="s">
        <v>13</v>
      </c>
      <c r="B15" s="30">
        <v>8.6534706950000011</v>
      </c>
    </row>
    <row r="16" spans="1:2" x14ac:dyDescent="0.25">
      <c r="A16" s="30" t="s">
        <v>14</v>
      </c>
      <c r="B16" s="30">
        <v>1211.6729789999999</v>
      </c>
    </row>
    <row r="17" spans="1:3" x14ac:dyDescent="0.25">
      <c r="A17" s="30" t="s">
        <v>15</v>
      </c>
      <c r="B17" s="30">
        <v>30.14189663687954</v>
      </c>
    </row>
    <row r="18" spans="1:3" x14ac:dyDescent="0.25">
      <c r="A18" s="30" t="s">
        <v>16</v>
      </c>
      <c r="B18" s="30">
        <v>8.6931055908711024</v>
      </c>
      <c r="C18" s="43" t="s">
        <v>180</v>
      </c>
    </row>
    <row r="19" spans="1:3" x14ac:dyDescent="0.25">
      <c r="A19" s="30" t="s">
        <v>17</v>
      </c>
      <c r="B19" s="30">
        <v>0.59316556585476865</v>
      </c>
      <c r="C19" s="43">
        <f>B19/B18</f>
        <v>6.8234022887938922E-2</v>
      </c>
    </row>
    <row r="20" spans="1:3" x14ac:dyDescent="0.25">
      <c r="A20" s="30" t="s">
        <v>18</v>
      </c>
      <c r="B20" s="30">
        <v>8.0999400250163109</v>
      </c>
      <c r="C20" s="43">
        <f>B20/B18</f>
        <v>0.93176597711205844</v>
      </c>
    </row>
    <row r="21" spans="1:3" x14ac:dyDescent="0.25">
      <c r="A21" s="30" t="s">
        <v>19</v>
      </c>
      <c r="B21" s="30">
        <v>198.44515267117731</v>
      </c>
    </row>
    <row r="22" spans="1:3" x14ac:dyDescent="0.25">
      <c r="A22" s="30" t="s">
        <v>20</v>
      </c>
      <c r="B22" s="30">
        <v>2062.1908678396098</v>
      </c>
    </row>
    <row r="23" spans="1:3" x14ac:dyDescent="0.25">
      <c r="A23" s="30" t="s">
        <v>21</v>
      </c>
      <c r="B23" s="30">
        <v>20.025877751645108</v>
      </c>
    </row>
    <row r="24" spans="1:3" x14ac:dyDescent="0.25">
      <c r="A24" s="30" t="s">
        <v>22</v>
      </c>
      <c r="B24" s="30">
        <v>50.781559134058149</v>
      </c>
    </row>
    <row r="25" spans="1:3" x14ac:dyDescent="0.25">
      <c r="A25" s="30" t="s">
        <v>23</v>
      </c>
      <c r="B25" s="30">
        <v>7.5629600432229731</v>
      </c>
    </row>
    <row r="26" spans="1:3" x14ac:dyDescent="0.25">
      <c r="A26" s="30" t="s">
        <v>24</v>
      </c>
      <c r="B26" s="30">
        <v>22.252495520857099</v>
      </c>
    </row>
    <row r="27" spans="1:3" x14ac:dyDescent="0.25">
      <c r="A27" s="30" t="s">
        <v>25</v>
      </c>
      <c r="B27" s="30">
        <v>0.40890548228720469</v>
      </c>
    </row>
    <row r="28" spans="1:3" x14ac:dyDescent="0.25">
      <c r="A28" s="30" t="s">
        <v>26</v>
      </c>
      <c r="B28" s="30">
        <v>0.42672467644371848</v>
      </c>
    </row>
    <row r="29" spans="1:3" x14ac:dyDescent="0.25">
      <c r="A29" s="30" t="s">
        <v>27</v>
      </c>
      <c r="B29" s="30">
        <v>0.37254906999353421</v>
      </c>
    </row>
    <row r="30" spans="1:3" x14ac:dyDescent="0.25">
      <c r="A30" s="30" t="s">
        <v>28</v>
      </c>
      <c r="B30" s="30">
        <v>0.16720369344453151</v>
      </c>
    </row>
    <row r="31" spans="1:3" x14ac:dyDescent="0.25">
      <c r="A31" s="30" t="s">
        <v>29</v>
      </c>
      <c r="B31" s="30">
        <v>0.18209394948599619</v>
      </c>
    </row>
    <row r="32" spans="1:3" x14ac:dyDescent="0.25">
      <c r="A32" s="30" t="s">
        <v>30</v>
      </c>
      <c r="B32" s="30">
        <v>0.13879280955304721</v>
      </c>
    </row>
    <row r="33" spans="1:2" x14ac:dyDescent="0.25">
      <c r="A33" s="30" t="s">
        <v>31</v>
      </c>
      <c r="B33" s="30">
        <v>0.12584070077563389</v>
      </c>
    </row>
    <row r="34" spans="1:2" x14ac:dyDescent="0.25">
      <c r="A34" s="30" t="s">
        <v>32</v>
      </c>
      <c r="B34" s="30">
        <v>0.16252316510447509</v>
      </c>
    </row>
    <row r="35" spans="1:2" x14ac:dyDescent="0.25">
      <c r="A35" s="30" t="s">
        <v>33</v>
      </c>
      <c r="B35" s="30">
        <v>5.0997653139851357E-2</v>
      </c>
    </row>
    <row r="36" spans="1:2" x14ac:dyDescent="0.25">
      <c r="A36" s="30" t="s">
        <v>34</v>
      </c>
      <c r="B36" s="30">
        <v>3523354.2436000002</v>
      </c>
    </row>
    <row r="37" spans="1:2" x14ac:dyDescent="0.25">
      <c r="A37" s="30" t="s">
        <v>35</v>
      </c>
      <c r="B37" s="30">
        <v>1.1980984640327749E-2</v>
      </c>
    </row>
    <row r="38" spans="1:2" x14ac:dyDescent="0.25">
      <c r="A38" s="30" t="s">
        <v>36</v>
      </c>
      <c r="B38" s="30">
        <v>2780.422243531068</v>
      </c>
    </row>
    <row r="39" spans="1:2" x14ac:dyDescent="0.25">
      <c r="A39" s="30" t="s">
        <v>37</v>
      </c>
      <c r="B39" s="30">
        <v>1112.168897412427</v>
      </c>
    </row>
    <row r="40" spans="1:2" x14ac:dyDescent="0.25">
      <c r="A40" s="30" t="s">
        <v>38</v>
      </c>
      <c r="B40" s="30" t="s">
        <v>39</v>
      </c>
    </row>
    <row r="41" spans="1:2" x14ac:dyDescent="0.25">
      <c r="A41" s="30" t="s">
        <v>40</v>
      </c>
      <c r="B41" s="30">
        <v>0</v>
      </c>
    </row>
    <row r="42" spans="1:2" x14ac:dyDescent="0.25">
      <c r="A42" s="30" t="s">
        <v>41</v>
      </c>
      <c r="B42" s="30">
        <v>0</v>
      </c>
    </row>
    <row r="43" spans="1:2" x14ac:dyDescent="0.25">
      <c r="A43" s="30" t="s">
        <v>42</v>
      </c>
      <c r="B43" s="30">
        <v>2.2605712919764212E-3</v>
      </c>
    </row>
    <row r="44" spans="1:2" x14ac:dyDescent="0.25">
      <c r="A44" s="30" t="s">
        <v>43</v>
      </c>
      <c r="B44" s="30">
        <v>0.59090499456279222</v>
      </c>
    </row>
    <row r="45" spans="1:2" x14ac:dyDescent="0.25">
      <c r="A45" s="30" t="s">
        <v>44</v>
      </c>
      <c r="B45" s="30">
        <v>3.297597776982947</v>
      </c>
    </row>
    <row r="46" spans="1:2" x14ac:dyDescent="0.25">
      <c r="A46" s="30" t="s">
        <v>45</v>
      </c>
      <c r="B46" s="30">
        <v>3.652506502521462</v>
      </c>
    </row>
    <row r="47" spans="1:2" x14ac:dyDescent="0.25">
      <c r="A47" s="30" t="s">
        <v>46</v>
      </c>
      <c r="B47" s="30">
        <v>1.149835745511923</v>
      </c>
    </row>
    <row r="48" spans="1:2" x14ac:dyDescent="0.25">
      <c r="A48" s="30" t="s">
        <v>47</v>
      </c>
      <c r="B48" s="30">
        <v>0.56924220638226519</v>
      </c>
    </row>
    <row r="49" spans="1:17" x14ac:dyDescent="0.25">
      <c r="A49" s="30" t="s">
        <v>48</v>
      </c>
      <c r="B49" s="30">
        <v>0.56452942885421242</v>
      </c>
    </row>
    <row r="50" spans="1:17" x14ac:dyDescent="0.25">
      <c r="A50" s="30" t="s">
        <v>49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</row>
    <row r="51" spans="1:17" x14ac:dyDescent="0.25">
      <c r="A51" s="30" t="s">
        <v>50</v>
      </c>
      <c r="B51" s="30" t="s">
        <v>39</v>
      </c>
      <c r="C51" s="30" t="s">
        <v>61</v>
      </c>
      <c r="D51" s="30" t="s">
        <v>25</v>
      </c>
      <c r="E51" s="30" t="s">
        <v>62</v>
      </c>
      <c r="F51" s="30" t="s">
        <v>4</v>
      </c>
      <c r="G51" s="30" t="s">
        <v>5</v>
      </c>
      <c r="H51" s="30" t="s">
        <v>6</v>
      </c>
      <c r="I51" s="30" t="s">
        <v>7</v>
      </c>
      <c r="J51" s="30" t="s">
        <v>8</v>
      </c>
      <c r="K51" s="30" t="s">
        <v>9</v>
      </c>
      <c r="L51" s="30" t="s">
        <v>10</v>
      </c>
      <c r="M51" s="30" t="s">
        <v>11</v>
      </c>
      <c r="N51" s="30" t="s">
        <v>12</v>
      </c>
      <c r="O51" s="30" t="s">
        <v>13</v>
      </c>
      <c r="P51" s="30" t="s">
        <v>14</v>
      </c>
      <c r="Q51" s="30" t="s">
        <v>15</v>
      </c>
    </row>
    <row r="52" spans="1:17" x14ac:dyDescent="0.25">
      <c r="A52" s="30" t="s">
        <v>51</v>
      </c>
      <c r="B52" s="30">
        <v>6.4338057891384496E-4</v>
      </c>
      <c r="C52" s="30">
        <v>9.9331861575550115E-2</v>
      </c>
      <c r="D52" s="30">
        <v>0.28955891495334019</v>
      </c>
      <c r="E52" s="30">
        <v>8.3847098395351899E-2</v>
      </c>
      <c r="F52" s="30">
        <v>398.85520510000009</v>
      </c>
      <c r="G52" s="30">
        <v>476.2225603</v>
      </c>
      <c r="H52" s="30">
        <v>437.53888269999999</v>
      </c>
      <c r="I52" s="30">
        <v>13.104335254</v>
      </c>
      <c r="J52" s="30">
        <v>13.696853074</v>
      </c>
      <c r="K52" s="30">
        <v>13.400594163999999</v>
      </c>
      <c r="L52" s="30">
        <v>11.267633067294719</v>
      </c>
      <c r="M52" s="30">
        <v>12.31204081244236</v>
      </c>
      <c r="N52" s="30">
        <v>11.78983693986854</v>
      </c>
      <c r="O52" s="30">
        <v>20.382751320000001</v>
      </c>
      <c r="P52" s="30">
        <v>22.527831890000002</v>
      </c>
      <c r="Q52" s="30">
        <v>21.455291604999999</v>
      </c>
    </row>
    <row r="53" spans="1:17" x14ac:dyDescent="0.25">
      <c r="A53" s="30" t="s">
        <v>52</v>
      </c>
      <c r="B53" s="30">
        <v>3.4099170682433781E-2</v>
      </c>
      <c r="C53" s="30">
        <v>0.18082493531047231</v>
      </c>
      <c r="D53" s="30">
        <v>0.2828981392877401</v>
      </c>
      <c r="E53" s="30">
        <v>8.0991907964256676E-2</v>
      </c>
      <c r="F53" s="30">
        <v>112.6240894</v>
      </c>
      <c r="G53" s="30">
        <v>17298.98073000001</v>
      </c>
      <c r="H53" s="30">
        <v>880.74754802830216</v>
      </c>
      <c r="I53" s="30">
        <v>7.5589176460000012</v>
      </c>
      <c r="J53" s="30">
        <v>66.792610095000001</v>
      </c>
      <c r="K53" s="30">
        <v>14.439116193400951</v>
      </c>
      <c r="L53" s="30">
        <v>5.9874335969985566</v>
      </c>
      <c r="M53" s="30">
        <v>74.205367644543685</v>
      </c>
      <c r="N53" s="30">
        <v>12.89775549808153</v>
      </c>
      <c r="O53" s="30">
        <v>9.9709248850000005</v>
      </c>
      <c r="P53" s="30">
        <v>144.39740080000001</v>
      </c>
      <c r="Q53" s="30">
        <v>23.647592625509439</v>
      </c>
    </row>
    <row r="54" spans="1:17" x14ac:dyDescent="0.25">
      <c r="A54" s="30" t="s">
        <v>53</v>
      </c>
      <c r="B54" s="30">
        <v>0.9406224063720412</v>
      </c>
      <c r="C54" s="30">
        <v>0.27097200914118341</v>
      </c>
      <c r="D54" s="30">
        <v>0.32239911596908438</v>
      </c>
      <c r="E54" s="30">
        <v>0.1048303397234074</v>
      </c>
      <c r="F54" s="30">
        <v>65.668733540000005</v>
      </c>
      <c r="G54" s="30">
        <v>21090.890319999999</v>
      </c>
      <c r="H54" s="30">
        <v>1317.547517866396</v>
      </c>
      <c r="I54" s="30">
        <v>5.2125626605000006</v>
      </c>
      <c r="J54" s="30">
        <v>69.598272945000005</v>
      </c>
      <c r="K54" s="30">
        <v>17.411730271642611</v>
      </c>
      <c r="L54" s="30">
        <v>4.5719806538251104</v>
      </c>
      <c r="M54" s="30">
        <v>81.935577725881771</v>
      </c>
      <c r="N54" s="30">
        <v>17.165373844735161</v>
      </c>
      <c r="O54" s="30">
        <v>8.765684245000001</v>
      </c>
      <c r="P54" s="30">
        <v>173.38673850000001</v>
      </c>
      <c r="Q54" s="30">
        <v>34.728093814078662</v>
      </c>
    </row>
    <row r="55" spans="1:17" x14ac:dyDescent="0.25">
      <c r="A55" s="30" t="s">
        <v>54</v>
      </c>
      <c r="B55" s="30">
        <v>7.9402814146652174</v>
      </c>
      <c r="C55" s="30">
        <v>0.36318719412596551</v>
      </c>
      <c r="D55" s="30">
        <v>0.3483159184086026</v>
      </c>
      <c r="E55" s="30">
        <v>0.1219866948201228</v>
      </c>
      <c r="F55" s="30">
        <v>47.248873170000017</v>
      </c>
      <c r="G55" s="30">
        <v>375722.31120000011</v>
      </c>
      <c r="H55" s="30">
        <v>1226.3450859133129</v>
      </c>
      <c r="I55" s="30">
        <v>4.6849846365000012</v>
      </c>
      <c r="J55" s="30">
        <v>208.26678010000009</v>
      </c>
      <c r="K55" s="30">
        <v>16.422045093278211</v>
      </c>
      <c r="L55" s="30">
        <v>3.8781159653954478</v>
      </c>
      <c r="M55" s="30">
        <v>345.82672845629332</v>
      </c>
      <c r="N55" s="30">
        <v>16.674278702396901</v>
      </c>
      <c r="O55" s="30">
        <v>8.6534706950000011</v>
      </c>
      <c r="P55" s="30">
        <v>532.90088020000007</v>
      </c>
      <c r="Q55" s="30">
        <v>35.773167852741523</v>
      </c>
    </row>
    <row r="56" spans="1:17" x14ac:dyDescent="0.25">
      <c r="A56" s="30" t="s">
        <v>55</v>
      </c>
      <c r="B56" s="30">
        <v>22.725488808394829</v>
      </c>
      <c r="C56" s="30">
        <v>0.45468860108012471</v>
      </c>
      <c r="D56" s="30">
        <v>0.37493770427758949</v>
      </c>
      <c r="E56" s="30">
        <v>0.14121447797055439</v>
      </c>
      <c r="F56" s="30">
        <v>39.158802870000009</v>
      </c>
      <c r="G56" s="30">
        <v>2982101.2519999999</v>
      </c>
      <c r="H56" s="30">
        <v>1104.4145937315</v>
      </c>
      <c r="I56" s="30">
        <v>3.8461911369999999</v>
      </c>
      <c r="J56" s="30">
        <v>426.48916630000002</v>
      </c>
      <c r="K56" s="30">
        <v>14.40996021121267</v>
      </c>
      <c r="L56" s="30">
        <v>3.5305288675555682</v>
      </c>
      <c r="M56" s="30">
        <v>974.28553828570182</v>
      </c>
      <c r="N56" s="30">
        <v>15.01069565322595</v>
      </c>
      <c r="O56" s="30">
        <v>8.7831243920000013</v>
      </c>
      <c r="P56" s="30">
        <v>1211.6729789999999</v>
      </c>
      <c r="Q56" s="30">
        <v>34.314209555339943</v>
      </c>
    </row>
    <row r="57" spans="1:17" x14ac:dyDescent="0.25">
      <c r="A57" s="30" t="s">
        <v>56</v>
      </c>
      <c r="B57" s="30">
        <v>28.187146542794459</v>
      </c>
      <c r="C57" s="30">
        <v>0.54972192589640456</v>
      </c>
      <c r="D57" s="30">
        <v>0.40311713260539578</v>
      </c>
      <c r="E57" s="30">
        <v>0.1632104983992233</v>
      </c>
      <c r="F57" s="30">
        <v>35.285419370000007</v>
      </c>
      <c r="G57" s="30">
        <v>494162.35470000003</v>
      </c>
      <c r="H57" s="30">
        <v>883.27307702950839</v>
      </c>
      <c r="I57" s="30">
        <v>3.700831494</v>
      </c>
      <c r="J57" s="30">
        <v>215.85415395000001</v>
      </c>
      <c r="K57" s="30">
        <v>12.417092041558201</v>
      </c>
      <c r="L57" s="30">
        <v>3.3513725283250779</v>
      </c>
      <c r="M57" s="30">
        <v>396.60655930136988</v>
      </c>
      <c r="N57" s="30">
        <v>13.149497455559549</v>
      </c>
      <c r="O57" s="30">
        <v>8.7755595750000026</v>
      </c>
      <c r="P57" s="30">
        <v>621.38045039999997</v>
      </c>
      <c r="Q57" s="30">
        <v>32.012370086796103</v>
      </c>
    </row>
    <row r="58" spans="1:17" x14ac:dyDescent="0.25">
      <c r="A58" s="30" t="s">
        <v>57</v>
      </c>
      <c r="B58" s="30">
        <v>23.296489072180869</v>
      </c>
      <c r="C58" s="30">
        <v>0.64691336272662803</v>
      </c>
      <c r="D58" s="30">
        <v>0.4328130004104529</v>
      </c>
      <c r="E58" s="30">
        <v>0.18800890999597011</v>
      </c>
      <c r="F58" s="30">
        <v>34.272079980000008</v>
      </c>
      <c r="G58" s="30">
        <v>160218.11319999999</v>
      </c>
      <c r="H58" s="30">
        <v>614.6277824221886</v>
      </c>
      <c r="I58" s="30">
        <v>3.5210314024999998</v>
      </c>
      <c r="J58" s="30">
        <v>158.71576965</v>
      </c>
      <c r="K58" s="30">
        <v>10.008733812337161</v>
      </c>
      <c r="L58" s="30">
        <v>3.3028990111287948</v>
      </c>
      <c r="M58" s="30">
        <v>225.82960252649269</v>
      </c>
      <c r="N58" s="30">
        <v>10.5478541000842</v>
      </c>
      <c r="O58" s="30">
        <v>9.1886881180000017</v>
      </c>
      <c r="P58" s="30">
        <v>401.91841260000001</v>
      </c>
      <c r="Q58" s="30">
        <v>27.47539962846831</v>
      </c>
    </row>
    <row r="59" spans="1:17" x14ac:dyDescent="0.25">
      <c r="A59" s="30" t="s">
        <v>58</v>
      </c>
      <c r="B59" s="30">
        <v>13.25492668678303</v>
      </c>
      <c r="C59" s="30">
        <v>0.74287534800961064</v>
      </c>
      <c r="D59" s="30">
        <v>0.46007457501328353</v>
      </c>
      <c r="E59" s="30">
        <v>0.2121948805400132</v>
      </c>
      <c r="F59" s="30">
        <v>30.660335190000001</v>
      </c>
      <c r="G59" s="30">
        <v>147977.44680000001</v>
      </c>
      <c r="H59" s="30">
        <v>376.58384200224941</v>
      </c>
      <c r="I59" s="30">
        <v>3.3121948419999998</v>
      </c>
      <c r="J59" s="30">
        <v>146.00722020000001</v>
      </c>
      <c r="K59" s="30">
        <v>7.9403582105534793</v>
      </c>
      <c r="L59" s="30">
        <v>3.1240178944247061</v>
      </c>
      <c r="M59" s="30">
        <v>217.03152823651209</v>
      </c>
      <c r="N59" s="30">
        <v>8.2175143364699181</v>
      </c>
      <c r="O59" s="30">
        <v>9.2191465690000012</v>
      </c>
      <c r="P59" s="30">
        <v>386.93150350000002</v>
      </c>
      <c r="Q59" s="30">
        <v>22.894359375352419</v>
      </c>
    </row>
    <row r="60" spans="1:17" x14ac:dyDescent="0.25">
      <c r="A60" s="30" t="s">
        <v>59</v>
      </c>
      <c r="B60" s="30">
        <v>3.4436945486363548</v>
      </c>
      <c r="C60" s="30">
        <v>0.83349286404288769</v>
      </c>
      <c r="D60" s="30">
        <v>0.48168465617099859</v>
      </c>
      <c r="E60" s="30">
        <v>0.23237653277470111</v>
      </c>
      <c r="F60" s="30">
        <v>28.617085830000001</v>
      </c>
      <c r="G60" s="30">
        <v>137432.10149999999</v>
      </c>
      <c r="H60" s="30">
        <v>235.40672584122191</v>
      </c>
      <c r="I60" s="30">
        <v>3.228114567</v>
      </c>
      <c r="J60" s="30">
        <v>133.2991778</v>
      </c>
      <c r="K60" s="30">
        <v>6.5946326918353577</v>
      </c>
      <c r="L60" s="30">
        <v>3.0181287801316681</v>
      </c>
      <c r="M60" s="30">
        <v>209.1554364257936</v>
      </c>
      <c r="N60" s="30">
        <v>6.6943229005909544</v>
      </c>
      <c r="O60" s="30">
        <v>9.319288138000001</v>
      </c>
      <c r="P60" s="30">
        <v>396.02164850000003</v>
      </c>
      <c r="Q60" s="30">
        <v>19.71766164842634</v>
      </c>
    </row>
    <row r="61" spans="1:17" x14ac:dyDescent="0.25">
      <c r="A61" s="30" t="s">
        <v>60</v>
      </c>
      <c r="B61" s="30">
        <v>0.1766079689118504</v>
      </c>
      <c r="C61" s="30">
        <v>0.92477983152321008</v>
      </c>
      <c r="D61" s="30">
        <v>0.50006735710355477</v>
      </c>
      <c r="E61" s="30">
        <v>0.25027723686916792</v>
      </c>
      <c r="F61" s="30">
        <v>25.82213577000001</v>
      </c>
      <c r="G61" s="30">
        <v>3798.1551800000002</v>
      </c>
      <c r="H61" s="30">
        <v>127.96271439202189</v>
      </c>
      <c r="I61" s="30">
        <v>3.0141870074999999</v>
      </c>
      <c r="J61" s="30">
        <v>27.657573450000012</v>
      </c>
      <c r="K61" s="30">
        <v>5.638542138770493</v>
      </c>
      <c r="L61" s="30">
        <v>2.8669567659752202</v>
      </c>
      <c r="M61" s="30">
        <v>34.77053843491894</v>
      </c>
      <c r="N61" s="30">
        <v>5.603421220724452</v>
      </c>
      <c r="O61" s="30">
        <v>9.4693477589999997</v>
      </c>
      <c r="P61" s="30">
        <v>85.452155939999997</v>
      </c>
      <c r="Q61" s="30">
        <v>17.354229524315119</v>
      </c>
    </row>
    <row r="62" spans="1:17" x14ac:dyDescent="0.25">
      <c r="A62" s="30" t="s">
        <v>63</v>
      </c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</row>
    <row r="63" spans="1:17" x14ac:dyDescent="0.25">
      <c r="A63" s="30" t="s">
        <v>64</v>
      </c>
      <c r="B63" s="30">
        <v>10</v>
      </c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</row>
    <row r="64" spans="1:17" x14ac:dyDescent="0.25">
      <c r="A64" s="30" t="s">
        <v>65</v>
      </c>
      <c r="B64" s="30">
        <v>161.29</v>
      </c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</row>
    <row r="65" spans="1:17" x14ac:dyDescent="0.25">
      <c r="A65" s="30" t="s">
        <v>66</v>
      </c>
      <c r="B65" s="30">
        <v>32.288372208464402</v>
      </c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</row>
    <row r="66" spans="1:17" x14ac:dyDescent="0.25">
      <c r="A66" s="30" t="s">
        <v>67</v>
      </c>
      <c r="B66" s="30">
        <v>78.464637002341874</v>
      </c>
    </row>
    <row r="67" spans="1:17" x14ac:dyDescent="0.25">
      <c r="A67" s="30" t="s">
        <v>68</v>
      </c>
      <c r="B67" s="30">
        <v>424.57349299304718</v>
      </c>
    </row>
    <row r="68" spans="1:17" x14ac:dyDescent="0.25">
      <c r="A68" s="30" t="s">
        <v>69</v>
      </c>
      <c r="B68" s="30"/>
    </row>
    <row r="69" spans="1:17" x14ac:dyDescent="0.25">
      <c r="A69" s="30" t="s">
        <v>114</v>
      </c>
      <c r="B69" s="30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9"/>
  <sheetViews>
    <sheetView workbookViewId="0">
      <selection activeCell="C18" sqref="C18:C20"/>
    </sheetView>
  </sheetViews>
  <sheetFormatPr defaultRowHeight="15" x14ac:dyDescent="0.25"/>
  <cols>
    <col min="1" max="1" width="75" bestFit="1" customWidth="1"/>
    <col min="2" max="2" width="12" bestFit="1" customWidth="1"/>
    <col min="3" max="3" width="16.85546875" bestFit="1" customWidth="1"/>
    <col min="4" max="4" width="13.28515625" bestFit="1" customWidth="1"/>
    <col min="5" max="5" width="21.42578125" bestFit="1" customWidth="1"/>
    <col min="6" max="6" width="26.5703125" bestFit="1" customWidth="1"/>
    <col min="7" max="7" width="30.28515625" bestFit="1" customWidth="1"/>
    <col min="8" max="8" width="26.28515625" bestFit="1" customWidth="1"/>
    <col min="9" max="9" width="28.85546875" bestFit="1" customWidth="1"/>
    <col min="10" max="10" width="32.5703125" bestFit="1" customWidth="1"/>
    <col min="11" max="11" width="28.5703125" bestFit="1" customWidth="1"/>
    <col min="12" max="12" width="26.140625" bestFit="1" customWidth="1"/>
    <col min="13" max="13" width="29.85546875" bestFit="1" customWidth="1"/>
    <col min="14" max="14" width="25.85546875" bestFit="1" customWidth="1"/>
    <col min="15" max="15" width="29.85546875" bestFit="1" customWidth="1"/>
    <col min="16" max="16" width="33.42578125" bestFit="1" customWidth="1"/>
    <col min="17" max="17" width="29.42578125" bestFit="1" customWidth="1"/>
  </cols>
  <sheetData>
    <row r="1" spans="1:2" x14ac:dyDescent="0.25">
      <c r="A1" t="s">
        <v>115</v>
      </c>
    </row>
    <row r="2" spans="1:2" x14ac:dyDescent="0.25">
      <c r="A2" s="31" t="s">
        <v>0</v>
      </c>
      <c r="B2" s="31"/>
    </row>
    <row r="3" spans="1:2" x14ac:dyDescent="0.25">
      <c r="A3" s="31" t="s">
        <v>1</v>
      </c>
      <c r="B3" s="31">
        <v>1.27</v>
      </c>
    </row>
    <row r="4" spans="1:2" x14ac:dyDescent="0.25">
      <c r="A4" s="31" t="s">
        <v>2</v>
      </c>
      <c r="B4" s="31">
        <v>2</v>
      </c>
    </row>
    <row r="5" spans="1:2" x14ac:dyDescent="0.25">
      <c r="A5" s="31" t="s">
        <v>3</v>
      </c>
      <c r="B5" s="31">
        <v>6.4516</v>
      </c>
    </row>
    <row r="6" spans="1:2" x14ac:dyDescent="0.25">
      <c r="A6" s="31" t="s">
        <v>4</v>
      </c>
      <c r="B6" s="31">
        <v>25.82213577000001</v>
      </c>
    </row>
    <row r="7" spans="1:2" x14ac:dyDescent="0.25">
      <c r="A7" s="31" t="s">
        <v>5</v>
      </c>
      <c r="B7" s="31">
        <v>705065.96960000007</v>
      </c>
    </row>
    <row r="8" spans="1:2" x14ac:dyDescent="0.25">
      <c r="A8" s="31" t="s">
        <v>6</v>
      </c>
      <c r="B8" s="31">
        <v>772.34152737721877</v>
      </c>
    </row>
    <row r="9" spans="1:2" x14ac:dyDescent="0.25">
      <c r="A9" s="31" t="s">
        <v>7</v>
      </c>
      <c r="B9" s="31">
        <v>5.7339135319504404</v>
      </c>
    </row>
    <row r="10" spans="1:2" x14ac:dyDescent="0.25">
      <c r="A10" s="31" t="s">
        <v>8</v>
      </c>
      <c r="B10" s="31">
        <v>947.47974867105211</v>
      </c>
    </row>
    <row r="11" spans="1:2" x14ac:dyDescent="0.25">
      <c r="A11" s="31" t="s">
        <v>9</v>
      </c>
      <c r="B11" s="31">
        <v>25.00733135291642</v>
      </c>
    </row>
    <row r="12" spans="1:2" x14ac:dyDescent="0.25">
      <c r="A12" s="31" t="s">
        <v>10</v>
      </c>
      <c r="B12" s="31">
        <v>2.8669567659752202</v>
      </c>
    </row>
    <row r="13" spans="1:2" x14ac:dyDescent="0.25">
      <c r="A13" s="31" t="s">
        <v>11</v>
      </c>
      <c r="B13" s="31">
        <v>473.73987433552611</v>
      </c>
    </row>
    <row r="14" spans="1:2" x14ac:dyDescent="0.25">
      <c r="A14" s="31" t="s">
        <v>12</v>
      </c>
      <c r="B14" s="31">
        <v>12.50366567645821</v>
      </c>
    </row>
    <row r="15" spans="1:2" x14ac:dyDescent="0.25">
      <c r="A15" s="31" t="s">
        <v>13</v>
      </c>
      <c r="B15" s="31">
        <v>8.2758174660000012</v>
      </c>
    </row>
    <row r="16" spans="1:2" x14ac:dyDescent="0.25">
      <c r="A16" s="31" t="s">
        <v>14</v>
      </c>
      <c r="B16" s="31">
        <v>649.46329370000001</v>
      </c>
    </row>
    <row r="17" spans="1:3" x14ac:dyDescent="0.25">
      <c r="A17" s="31" t="s">
        <v>15</v>
      </c>
      <c r="B17" s="31">
        <v>30.630386695448369</v>
      </c>
    </row>
    <row r="18" spans="1:3" x14ac:dyDescent="0.25">
      <c r="A18" s="31" t="s">
        <v>16</v>
      </c>
      <c r="B18" s="31">
        <v>11.31863152157543</v>
      </c>
      <c r="C18" s="43" t="s">
        <v>180</v>
      </c>
    </row>
    <row r="19" spans="1:3" x14ac:dyDescent="0.25">
      <c r="A19" s="31" t="s">
        <v>17</v>
      </c>
      <c r="B19" s="31">
        <v>0.82644777236660671</v>
      </c>
      <c r="C19" s="43">
        <f>B19/B18</f>
        <v>7.3016580740458123E-2</v>
      </c>
    </row>
    <row r="20" spans="1:3" x14ac:dyDescent="0.25">
      <c r="A20" s="31" t="s">
        <v>18</v>
      </c>
      <c r="B20" s="31">
        <v>10.49218374920855</v>
      </c>
      <c r="C20" s="43">
        <f>B20/B18</f>
        <v>0.92698341925951777</v>
      </c>
    </row>
    <row r="21" spans="1:3" x14ac:dyDescent="0.25">
      <c r="A21" s="31" t="s">
        <v>19</v>
      </c>
      <c r="B21" s="31">
        <v>205.5340526933123</v>
      </c>
    </row>
    <row r="22" spans="1:3" x14ac:dyDescent="0.25">
      <c r="A22" s="31" t="s">
        <v>20</v>
      </c>
      <c r="B22" s="31">
        <v>1818.5042739787209</v>
      </c>
    </row>
    <row r="23" spans="1:3" x14ac:dyDescent="0.25">
      <c r="A23" s="31" t="s">
        <v>21</v>
      </c>
      <c r="B23" s="31">
        <v>20.118322930095101</v>
      </c>
    </row>
    <row r="24" spans="1:3" x14ac:dyDescent="0.25">
      <c r="A24" s="31" t="s">
        <v>22</v>
      </c>
      <c r="B24" s="31">
        <v>50.032617598181268</v>
      </c>
    </row>
    <row r="25" spans="1:3" x14ac:dyDescent="0.25">
      <c r="A25" s="31" t="s">
        <v>23</v>
      </c>
      <c r="B25" s="31">
        <v>7.7138875549732484</v>
      </c>
    </row>
    <row r="26" spans="1:3" x14ac:dyDescent="0.25">
      <c r="A26" s="31" t="s">
        <v>24</v>
      </c>
      <c r="B26" s="31">
        <v>21.34421146844679</v>
      </c>
    </row>
    <row r="27" spans="1:3" x14ac:dyDescent="0.25">
      <c r="A27" s="31" t="s">
        <v>25</v>
      </c>
      <c r="B27" s="31">
        <v>0.40572047396660621</v>
      </c>
    </row>
    <row r="28" spans="1:3" x14ac:dyDescent="0.25">
      <c r="A28" s="31" t="s">
        <v>26</v>
      </c>
      <c r="B28" s="31">
        <v>0.41969280932334591</v>
      </c>
    </row>
    <row r="29" spans="1:3" x14ac:dyDescent="0.25">
      <c r="A29" s="31" t="s">
        <v>27</v>
      </c>
      <c r="B29" s="31">
        <v>0.3799315819951376</v>
      </c>
    </row>
    <row r="30" spans="1:3" x14ac:dyDescent="0.25">
      <c r="A30" s="31" t="s">
        <v>28</v>
      </c>
      <c r="B30" s="31">
        <v>0.1646091029956876</v>
      </c>
    </row>
    <row r="31" spans="1:3" x14ac:dyDescent="0.25">
      <c r="A31" s="31" t="s">
        <v>29</v>
      </c>
      <c r="B31" s="31">
        <v>0.1761420541977223</v>
      </c>
    </row>
    <row r="32" spans="1:3" x14ac:dyDescent="0.25">
      <c r="A32" s="31" t="s">
        <v>30</v>
      </c>
      <c r="B32" s="31">
        <v>0.144348006997328</v>
      </c>
    </row>
    <row r="33" spans="1:2" x14ac:dyDescent="0.25">
      <c r="A33" s="31" t="s">
        <v>31</v>
      </c>
      <c r="B33" s="31">
        <v>0.1196210288412813</v>
      </c>
    </row>
    <row r="34" spans="1:2" x14ac:dyDescent="0.25">
      <c r="A34" s="31" t="s">
        <v>32</v>
      </c>
      <c r="B34" s="31">
        <v>0.15595763321829151</v>
      </c>
    </row>
    <row r="35" spans="1:2" x14ac:dyDescent="0.25">
      <c r="A35" s="31" t="s">
        <v>33</v>
      </c>
      <c r="B35" s="31">
        <v>5.2554161280255307E-2</v>
      </c>
    </row>
    <row r="36" spans="1:2" x14ac:dyDescent="0.25">
      <c r="A36" s="31" t="s">
        <v>34</v>
      </c>
      <c r="B36" s="31">
        <v>5024546.4024999999</v>
      </c>
    </row>
    <row r="37" spans="1:2" x14ac:dyDescent="0.25">
      <c r="A37" s="31" t="s">
        <v>35</v>
      </c>
      <c r="B37" s="31">
        <v>1.5267540081044339E-2</v>
      </c>
    </row>
    <row r="38" spans="1:2" x14ac:dyDescent="0.25">
      <c r="A38" s="31" t="s">
        <v>36</v>
      </c>
      <c r="B38" s="31">
        <v>4006.424015897449</v>
      </c>
    </row>
    <row r="39" spans="1:2" x14ac:dyDescent="0.25">
      <c r="A39" s="31" t="s">
        <v>37</v>
      </c>
      <c r="B39" s="31">
        <v>1602.5696063589801</v>
      </c>
    </row>
    <row r="40" spans="1:2" x14ac:dyDescent="0.25">
      <c r="A40" s="31" t="s">
        <v>38</v>
      </c>
      <c r="B40" s="31" t="s">
        <v>39</v>
      </c>
    </row>
    <row r="41" spans="1:2" x14ac:dyDescent="0.25">
      <c r="A41" s="31" t="s">
        <v>40</v>
      </c>
      <c r="B41" s="31">
        <v>0</v>
      </c>
    </row>
    <row r="42" spans="1:2" x14ac:dyDescent="0.25">
      <c r="A42" s="31" t="s">
        <v>41</v>
      </c>
      <c r="B42" s="31">
        <v>0</v>
      </c>
    </row>
    <row r="43" spans="1:2" x14ac:dyDescent="0.25">
      <c r="A43" s="31" t="s">
        <v>42</v>
      </c>
      <c r="B43" s="31">
        <v>2.3676221382647089E-3</v>
      </c>
    </row>
    <row r="44" spans="1:2" x14ac:dyDescent="0.25">
      <c r="A44" s="31" t="s">
        <v>43</v>
      </c>
      <c r="B44" s="31">
        <v>0.82408015022834236</v>
      </c>
    </row>
    <row r="45" spans="1:2" x14ac:dyDescent="0.25">
      <c r="A45" s="31" t="s">
        <v>44</v>
      </c>
      <c r="B45" s="31">
        <v>5.3036508280998884</v>
      </c>
    </row>
    <row r="46" spans="1:2" x14ac:dyDescent="0.25">
      <c r="A46" s="31" t="s">
        <v>45</v>
      </c>
      <c r="B46" s="31">
        <v>3.982316396703347</v>
      </c>
    </row>
    <row r="47" spans="1:2" x14ac:dyDescent="0.25">
      <c r="A47" s="31" t="s">
        <v>46</v>
      </c>
      <c r="B47" s="31">
        <v>1.206216524405586</v>
      </c>
    </row>
    <row r="48" spans="1:2" x14ac:dyDescent="0.25">
      <c r="A48" s="31" t="s">
        <v>47</v>
      </c>
      <c r="B48" s="31">
        <v>0.54715048503363972</v>
      </c>
    </row>
    <row r="49" spans="1:17" x14ac:dyDescent="0.25">
      <c r="A49" s="31" t="s">
        <v>48</v>
      </c>
      <c r="B49" s="31">
        <v>0.54257295097502745</v>
      </c>
    </row>
    <row r="50" spans="1:17" x14ac:dyDescent="0.25">
      <c r="A50" s="31" t="s">
        <v>49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1:17" x14ac:dyDescent="0.25">
      <c r="A51" s="31" t="s">
        <v>50</v>
      </c>
      <c r="B51" s="31" t="s">
        <v>39</v>
      </c>
      <c r="C51" s="31" t="s">
        <v>61</v>
      </c>
      <c r="D51" s="31" t="s">
        <v>25</v>
      </c>
      <c r="E51" s="31" t="s">
        <v>62</v>
      </c>
      <c r="F51" s="31" t="s">
        <v>4</v>
      </c>
      <c r="G51" s="31" t="s">
        <v>5</v>
      </c>
      <c r="H51" s="31" t="s">
        <v>6</v>
      </c>
      <c r="I51" s="31" t="s">
        <v>7</v>
      </c>
      <c r="J51" s="31" t="s">
        <v>8</v>
      </c>
      <c r="K51" s="31" t="s">
        <v>9</v>
      </c>
      <c r="L51" s="31" t="s">
        <v>10</v>
      </c>
      <c r="M51" s="31" t="s">
        <v>11</v>
      </c>
      <c r="N51" s="31" t="s">
        <v>12</v>
      </c>
      <c r="O51" s="31" t="s">
        <v>13</v>
      </c>
      <c r="P51" s="31" t="s">
        <v>14</v>
      </c>
      <c r="Q51" s="31" t="s">
        <v>15</v>
      </c>
    </row>
    <row r="52" spans="1:17" x14ac:dyDescent="0.25">
      <c r="A52" s="31" t="s">
        <v>51</v>
      </c>
      <c r="B52" s="31">
        <v>0</v>
      </c>
      <c r="C52" s="31">
        <v>0</v>
      </c>
      <c r="D52" s="31">
        <v>0</v>
      </c>
      <c r="E52" s="31">
        <v>0</v>
      </c>
      <c r="F52" s="31">
        <v>0</v>
      </c>
      <c r="G52" s="31">
        <v>0</v>
      </c>
      <c r="H52" s="31">
        <v>0</v>
      </c>
      <c r="I52" s="31">
        <v>0</v>
      </c>
      <c r="J52" s="31">
        <v>0</v>
      </c>
      <c r="K52" s="31">
        <v>0</v>
      </c>
      <c r="L52" s="31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</row>
    <row r="53" spans="1:17" x14ac:dyDescent="0.25">
      <c r="A53" s="31" t="s">
        <v>52</v>
      </c>
      <c r="B53" s="31">
        <v>5.575667463960178E-2</v>
      </c>
      <c r="C53" s="31">
        <v>0.1778660380364129</v>
      </c>
      <c r="D53" s="31">
        <v>0.2883301512217063</v>
      </c>
      <c r="E53" s="31">
        <v>8.4478314585464759E-2</v>
      </c>
      <c r="F53" s="31">
        <v>84.054338770000015</v>
      </c>
      <c r="G53" s="31">
        <v>19317.219130000001</v>
      </c>
      <c r="H53" s="31">
        <v>1212.5837603474199</v>
      </c>
      <c r="I53" s="31">
        <v>7.3278569374999991</v>
      </c>
      <c r="J53" s="31">
        <v>71.831731470000008</v>
      </c>
      <c r="K53" s="31">
        <v>16.60482137825942</v>
      </c>
      <c r="L53" s="31">
        <v>5.1725551719756933</v>
      </c>
      <c r="M53" s="31">
        <v>78.414678617320405</v>
      </c>
      <c r="N53" s="31">
        <v>15.40179077925108</v>
      </c>
      <c r="O53" s="31">
        <v>8.670090903000002</v>
      </c>
      <c r="P53" s="31">
        <v>164.62389830000001</v>
      </c>
      <c r="Q53" s="31">
        <v>29.683993020199999</v>
      </c>
    </row>
    <row r="54" spans="1:17" x14ac:dyDescent="0.25">
      <c r="A54" s="31" t="s">
        <v>53</v>
      </c>
      <c r="B54" s="31">
        <v>1.261232141702761</v>
      </c>
      <c r="C54" s="31">
        <v>0.2693037808121746</v>
      </c>
      <c r="D54" s="31">
        <v>0.32620118006341231</v>
      </c>
      <c r="E54" s="31">
        <v>0.107247444763827</v>
      </c>
      <c r="F54" s="31">
        <v>61.615375970000009</v>
      </c>
      <c r="G54" s="31">
        <v>117770.1597</v>
      </c>
      <c r="H54" s="31">
        <v>1155.504980460805</v>
      </c>
      <c r="I54" s="31">
        <v>5.6397172890000009</v>
      </c>
      <c r="J54" s="31">
        <v>138.050692795</v>
      </c>
      <c r="K54" s="31">
        <v>16.458074510543121</v>
      </c>
      <c r="L54" s="31">
        <v>4.4286322168568226</v>
      </c>
      <c r="M54" s="31">
        <v>193.61664734715831</v>
      </c>
      <c r="N54" s="31">
        <v>16.011532123722539</v>
      </c>
      <c r="O54" s="31">
        <v>8.6098390970000018</v>
      </c>
      <c r="P54" s="31">
        <v>311.20084980000001</v>
      </c>
      <c r="Q54" s="31">
        <v>33.332987168225912</v>
      </c>
    </row>
    <row r="55" spans="1:17" x14ac:dyDescent="0.25">
      <c r="A55" s="31" t="s">
        <v>54</v>
      </c>
      <c r="B55" s="31">
        <v>9.7223479216497513</v>
      </c>
      <c r="C55" s="31">
        <v>0.3631110400537842</v>
      </c>
      <c r="D55" s="31">
        <v>0.35316536176799868</v>
      </c>
      <c r="E55" s="31">
        <v>0.12526132316951771</v>
      </c>
      <c r="F55" s="31">
        <v>50.190581890000011</v>
      </c>
      <c r="G55" s="31">
        <v>170231.0343</v>
      </c>
      <c r="H55" s="31">
        <v>1000.185543772398</v>
      </c>
      <c r="I55" s="31">
        <v>4.7388909635000012</v>
      </c>
      <c r="J55" s="31">
        <v>162.54507573000001</v>
      </c>
      <c r="K55" s="31">
        <v>15.517474361220209</v>
      </c>
      <c r="L55" s="31">
        <v>3.9970186900869171</v>
      </c>
      <c r="M55" s="31">
        <v>232.77934004756949</v>
      </c>
      <c r="N55" s="31">
        <v>15.392381155161731</v>
      </c>
      <c r="O55" s="31">
        <v>8.2758174660000012</v>
      </c>
      <c r="P55" s="31">
        <v>418.56048550000003</v>
      </c>
      <c r="Q55" s="31">
        <v>33.826753320264558</v>
      </c>
    </row>
    <row r="56" spans="1:17" x14ac:dyDescent="0.25">
      <c r="A56" s="31" t="s">
        <v>55</v>
      </c>
      <c r="B56" s="31">
        <v>25.74988687051523</v>
      </c>
      <c r="C56" s="31">
        <v>0.45420568503131459</v>
      </c>
      <c r="D56" s="31">
        <v>0.37953813666583092</v>
      </c>
      <c r="E56" s="31">
        <v>0.1445514150873777</v>
      </c>
      <c r="F56" s="31">
        <v>40.237236300000014</v>
      </c>
      <c r="G56" s="31">
        <v>705065.96960000007</v>
      </c>
      <c r="H56" s="31">
        <v>928.91498999981729</v>
      </c>
      <c r="I56" s="31">
        <v>4.1150044805000006</v>
      </c>
      <c r="J56" s="31">
        <v>290.54028265000011</v>
      </c>
      <c r="K56" s="31">
        <v>13.987805108127271</v>
      </c>
      <c r="L56" s="31">
        <v>3.578814064324003</v>
      </c>
      <c r="M56" s="31">
        <v>473.73987433552611</v>
      </c>
      <c r="N56" s="31">
        <v>14.287446352062551</v>
      </c>
      <c r="O56" s="31">
        <v>8.5075364140000023</v>
      </c>
      <c r="P56" s="31">
        <v>649.46329370000001</v>
      </c>
      <c r="Q56" s="31">
        <v>33.35133642642122</v>
      </c>
    </row>
    <row r="57" spans="1:17" x14ac:dyDescent="0.25">
      <c r="A57" s="31" t="s">
        <v>56</v>
      </c>
      <c r="B57" s="31">
        <v>30.17470424720409</v>
      </c>
      <c r="C57" s="31">
        <v>0.54909382461274758</v>
      </c>
      <c r="D57" s="31">
        <v>0.40712202633955308</v>
      </c>
      <c r="E57" s="31">
        <v>0.166286080095052</v>
      </c>
      <c r="F57" s="31">
        <v>35.285419370000007</v>
      </c>
      <c r="G57" s="31">
        <v>469319.22410000011</v>
      </c>
      <c r="H57" s="31">
        <v>793.77428929160988</v>
      </c>
      <c r="I57" s="31">
        <v>3.7189812994999998</v>
      </c>
      <c r="J57" s="31">
        <v>263.0675119</v>
      </c>
      <c r="K57" s="31">
        <v>12.16259618753995</v>
      </c>
      <c r="L57" s="31">
        <v>3.3513725283250779</v>
      </c>
      <c r="M57" s="31">
        <v>386.50866588879478</v>
      </c>
      <c r="N57" s="31">
        <v>12.66673382214724</v>
      </c>
      <c r="O57" s="31">
        <v>8.9978348050000001</v>
      </c>
      <c r="P57" s="31">
        <v>620.38967290000005</v>
      </c>
      <c r="Q57" s="31">
        <v>31.429282231136408</v>
      </c>
    </row>
    <row r="58" spans="1:17" x14ac:dyDescent="0.25">
      <c r="A58" s="31" t="s">
        <v>57</v>
      </c>
      <c r="B58" s="31">
        <v>21.738153726808459</v>
      </c>
      <c r="C58" s="31">
        <v>0.64526161566980411</v>
      </c>
      <c r="D58" s="31">
        <v>0.43415366822862178</v>
      </c>
      <c r="E58" s="31">
        <v>0.1890231961277315</v>
      </c>
      <c r="F58" s="31">
        <v>32.49046932000001</v>
      </c>
      <c r="G58" s="31">
        <v>247009.45960000009</v>
      </c>
      <c r="H58" s="31">
        <v>613.33886165164381</v>
      </c>
      <c r="I58" s="31">
        <v>3.4875442699999999</v>
      </c>
      <c r="J58" s="31">
        <v>182.22454415000001</v>
      </c>
      <c r="K58" s="31">
        <v>10.198930414704559</v>
      </c>
      <c r="L58" s="31">
        <v>3.2159038529326631</v>
      </c>
      <c r="M58" s="31">
        <v>280.40248388984662</v>
      </c>
      <c r="N58" s="31">
        <v>10.665459676987441</v>
      </c>
      <c r="O58" s="31">
        <v>9.0049755849999986</v>
      </c>
      <c r="P58" s="31">
        <v>506.47960189999998</v>
      </c>
      <c r="Q58" s="31">
        <v>28.067986599009711</v>
      </c>
    </row>
    <row r="59" spans="1:17" x14ac:dyDescent="0.25">
      <c r="A59" s="31" t="s">
        <v>58</v>
      </c>
      <c r="B59" s="31">
        <v>9.3834443079707803</v>
      </c>
      <c r="C59" s="31">
        <v>0.74005508421545918</v>
      </c>
      <c r="D59" s="31">
        <v>0.45805574363542401</v>
      </c>
      <c r="E59" s="31">
        <v>0.21029677762559151</v>
      </c>
      <c r="F59" s="31">
        <v>31.412035880000008</v>
      </c>
      <c r="G59" s="31">
        <v>99878.198470000003</v>
      </c>
      <c r="H59" s="31">
        <v>440.54330749529959</v>
      </c>
      <c r="I59" s="31">
        <v>3.2798096410000008</v>
      </c>
      <c r="J59" s="31">
        <v>123.59675765</v>
      </c>
      <c r="K59" s="31">
        <v>8.5492228198762525</v>
      </c>
      <c r="L59" s="31">
        <v>3.1620818404595341</v>
      </c>
      <c r="M59" s="31">
        <v>178.30372398586559</v>
      </c>
      <c r="N59" s="31">
        <v>8.8799664673620384</v>
      </c>
      <c r="O59" s="31">
        <v>9.2191465690000012</v>
      </c>
      <c r="P59" s="31">
        <v>356.45410199999998</v>
      </c>
      <c r="Q59" s="31">
        <v>24.657926263327688</v>
      </c>
    </row>
    <row r="60" spans="1:17" x14ac:dyDescent="0.25">
      <c r="A60" s="31" t="s">
        <v>59</v>
      </c>
      <c r="B60" s="31">
        <v>1.8402934902062189</v>
      </c>
      <c r="C60" s="31">
        <v>0.83190878022736003</v>
      </c>
      <c r="D60" s="31">
        <v>0.47830365099815503</v>
      </c>
      <c r="E60" s="31">
        <v>0.229196250200737</v>
      </c>
      <c r="F60" s="31">
        <v>28.617085830000001</v>
      </c>
      <c r="G60" s="31">
        <v>177736.9578</v>
      </c>
      <c r="H60" s="31">
        <v>345.33473306842461</v>
      </c>
      <c r="I60" s="31">
        <v>3.228114567</v>
      </c>
      <c r="J60" s="31">
        <v>140.7484311</v>
      </c>
      <c r="K60" s="31">
        <v>7.3494960840514629</v>
      </c>
      <c r="L60" s="31">
        <v>3.0181287801316681</v>
      </c>
      <c r="M60" s="31">
        <v>237.85590345411069</v>
      </c>
      <c r="N60" s="31">
        <v>7.5752783942285724</v>
      </c>
      <c r="O60" s="31">
        <v>9.319288138000001</v>
      </c>
      <c r="P60" s="31">
        <v>419.00003740000011</v>
      </c>
      <c r="Q60" s="31">
        <v>21.976375110737159</v>
      </c>
    </row>
    <row r="61" spans="1:17" x14ac:dyDescent="0.25">
      <c r="A61" s="31" t="s">
        <v>60</v>
      </c>
      <c r="B61" s="31">
        <v>7.4180619303122378E-2</v>
      </c>
      <c r="C61" s="31">
        <v>0.9258198772043883</v>
      </c>
      <c r="D61" s="31">
        <v>0.49944953941939679</v>
      </c>
      <c r="E61" s="31">
        <v>0.24973058444635929</v>
      </c>
      <c r="F61" s="31">
        <v>25.82213577000001</v>
      </c>
      <c r="G61" s="31">
        <v>2991.8872889999998</v>
      </c>
      <c r="H61" s="31">
        <v>154.83287734566451</v>
      </c>
      <c r="I61" s="31">
        <v>3.0141870074999999</v>
      </c>
      <c r="J61" s="31">
        <v>27.272361024999999</v>
      </c>
      <c r="K61" s="31">
        <v>5.8594272152113289</v>
      </c>
      <c r="L61" s="31">
        <v>2.8669567659752202</v>
      </c>
      <c r="M61" s="31">
        <v>30.860124796188369</v>
      </c>
      <c r="N61" s="31">
        <v>5.8720011724096128</v>
      </c>
      <c r="O61" s="31">
        <v>9.4693477589999997</v>
      </c>
      <c r="P61" s="31">
        <v>84.547708639999996</v>
      </c>
      <c r="Q61" s="31">
        <v>18.05846063915687</v>
      </c>
    </row>
    <row r="62" spans="1:17" x14ac:dyDescent="0.25">
      <c r="A62" s="31" t="s">
        <v>63</v>
      </c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1:17" x14ac:dyDescent="0.25">
      <c r="A63" s="31" t="s">
        <v>64</v>
      </c>
      <c r="B63" s="31">
        <v>10</v>
      </c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1:17" x14ac:dyDescent="0.25">
      <c r="A64" s="31" t="s">
        <v>65</v>
      </c>
      <c r="B64" s="31">
        <v>161.29</v>
      </c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1:17" x14ac:dyDescent="0.25">
      <c r="A65" s="31" t="s">
        <v>66</v>
      </c>
      <c r="B65" s="31">
        <v>35.154818340916677</v>
      </c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1:17" x14ac:dyDescent="0.25">
      <c r="A66" s="31" t="s">
        <v>67</v>
      </c>
      <c r="B66" s="31">
        <v>79.754450510325128</v>
      </c>
    </row>
    <row r="67" spans="1:17" x14ac:dyDescent="0.25">
      <c r="A67" s="31" t="s">
        <v>68</v>
      </c>
      <c r="B67" s="31">
        <v>427.84056281701061</v>
      </c>
    </row>
    <row r="68" spans="1:17" x14ac:dyDescent="0.25">
      <c r="A68" s="31" t="s">
        <v>69</v>
      </c>
      <c r="B68" s="31"/>
    </row>
    <row r="69" spans="1:17" x14ac:dyDescent="0.25">
      <c r="A69" s="31" t="s">
        <v>116</v>
      </c>
      <c r="B69" s="31"/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9"/>
  <sheetViews>
    <sheetView topLeftCell="A28" workbookViewId="0">
      <selection activeCell="C18" sqref="C18:C20"/>
    </sheetView>
  </sheetViews>
  <sheetFormatPr defaultRowHeight="15" x14ac:dyDescent="0.25"/>
  <cols>
    <col min="1" max="1" width="75" bestFit="1" customWidth="1"/>
    <col min="2" max="2" width="12" bestFit="1" customWidth="1"/>
    <col min="3" max="3" width="16.85546875" bestFit="1" customWidth="1"/>
    <col min="4" max="4" width="13.28515625" bestFit="1" customWidth="1"/>
    <col min="5" max="5" width="21.42578125" bestFit="1" customWidth="1"/>
    <col min="6" max="6" width="26.5703125" bestFit="1" customWidth="1"/>
    <col min="7" max="7" width="30.28515625" bestFit="1" customWidth="1"/>
    <col min="8" max="8" width="26.28515625" bestFit="1" customWidth="1"/>
    <col min="9" max="9" width="28.85546875" bestFit="1" customWidth="1"/>
    <col min="10" max="10" width="32.5703125" bestFit="1" customWidth="1"/>
    <col min="11" max="11" width="28.5703125" bestFit="1" customWidth="1"/>
    <col min="12" max="12" width="26.140625" bestFit="1" customWidth="1"/>
    <col min="13" max="13" width="29.85546875" bestFit="1" customWidth="1"/>
    <col min="14" max="14" width="25.85546875" bestFit="1" customWidth="1"/>
    <col min="15" max="15" width="29.85546875" bestFit="1" customWidth="1"/>
    <col min="16" max="16" width="33.42578125" bestFit="1" customWidth="1"/>
    <col min="17" max="17" width="29.42578125" bestFit="1" customWidth="1"/>
  </cols>
  <sheetData>
    <row r="1" spans="1:2" x14ac:dyDescent="0.25">
      <c r="A1" t="s">
        <v>117</v>
      </c>
    </row>
    <row r="2" spans="1:2" x14ac:dyDescent="0.25">
      <c r="A2" s="32" t="s">
        <v>0</v>
      </c>
      <c r="B2" s="32"/>
    </row>
    <row r="3" spans="1:2" x14ac:dyDescent="0.25">
      <c r="A3" s="32" t="s">
        <v>1</v>
      </c>
      <c r="B3" s="32">
        <v>1.27</v>
      </c>
    </row>
    <row r="4" spans="1:2" x14ac:dyDescent="0.25">
      <c r="A4" s="32" t="s">
        <v>2</v>
      </c>
      <c r="B4" s="32">
        <v>2</v>
      </c>
    </row>
    <row r="5" spans="1:2" x14ac:dyDescent="0.25">
      <c r="A5" s="32" t="s">
        <v>3</v>
      </c>
      <c r="B5" s="32">
        <v>6.4516</v>
      </c>
    </row>
    <row r="6" spans="1:2" x14ac:dyDescent="0.25">
      <c r="A6" s="32" t="s">
        <v>4</v>
      </c>
      <c r="B6" s="32">
        <v>25.82213577000001</v>
      </c>
    </row>
    <row r="7" spans="1:2" x14ac:dyDescent="0.25">
      <c r="A7" s="32" t="s">
        <v>5</v>
      </c>
      <c r="B7" s="32">
        <v>1052435.0330000001</v>
      </c>
    </row>
    <row r="8" spans="1:2" x14ac:dyDescent="0.25">
      <c r="A8" s="32" t="s">
        <v>6</v>
      </c>
      <c r="B8" s="32">
        <v>796.95724212830385</v>
      </c>
    </row>
    <row r="9" spans="1:2" x14ac:dyDescent="0.25">
      <c r="A9" s="32" t="s">
        <v>7</v>
      </c>
      <c r="B9" s="32">
        <v>5.7339135319504404</v>
      </c>
    </row>
    <row r="10" spans="1:2" x14ac:dyDescent="0.25">
      <c r="A10" s="32" t="s">
        <v>8</v>
      </c>
      <c r="B10" s="32">
        <v>1157.5845119386561</v>
      </c>
    </row>
    <row r="11" spans="1:2" x14ac:dyDescent="0.25">
      <c r="A11" s="32" t="s">
        <v>9</v>
      </c>
      <c r="B11" s="32">
        <v>24.753809787417001</v>
      </c>
    </row>
    <row r="12" spans="1:2" x14ac:dyDescent="0.25">
      <c r="A12" s="32" t="s">
        <v>10</v>
      </c>
      <c r="B12" s="32">
        <v>2.8669567659752202</v>
      </c>
    </row>
    <row r="13" spans="1:2" x14ac:dyDescent="0.25">
      <c r="A13" s="32" t="s">
        <v>11</v>
      </c>
      <c r="B13" s="32">
        <v>578.79225596932804</v>
      </c>
    </row>
    <row r="14" spans="1:2" x14ac:dyDescent="0.25">
      <c r="A14" s="32" t="s">
        <v>12</v>
      </c>
      <c r="B14" s="32">
        <v>12.376904893708501</v>
      </c>
    </row>
    <row r="15" spans="1:2" x14ac:dyDescent="0.25">
      <c r="A15" s="32" t="s">
        <v>13</v>
      </c>
      <c r="B15" s="32">
        <v>8.4928920800000007</v>
      </c>
    </row>
    <row r="16" spans="1:2" x14ac:dyDescent="0.25">
      <c r="A16" s="32" t="s">
        <v>14</v>
      </c>
      <c r="B16" s="32">
        <v>829.56560960000013</v>
      </c>
    </row>
    <row r="17" spans="1:3" x14ac:dyDescent="0.25">
      <c r="A17" s="32" t="s">
        <v>15</v>
      </c>
      <c r="B17" s="32">
        <v>30.31975046021887</v>
      </c>
    </row>
    <row r="18" spans="1:3" x14ac:dyDescent="0.25">
      <c r="A18" s="32" t="s">
        <v>16</v>
      </c>
      <c r="B18" s="32">
        <v>13.70361966724229</v>
      </c>
      <c r="C18" s="43" t="s">
        <v>180</v>
      </c>
    </row>
    <row r="19" spans="1:3" x14ac:dyDescent="0.25">
      <c r="A19" s="32" t="s">
        <v>17</v>
      </c>
      <c r="B19" s="32">
        <v>0.98194548799724113</v>
      </c>
      <c r="C19" s="43">
        <f>B19/B18</f>
        <v>7.165592097863932E-2</v>
      </c>
    </row>
    <row r="20" spans="1:3" x14ac:dyDescent="0.25">
      <c r="A20" s="32" t="s">
        <v>18</v>
      </c>
      <c r="B20" s="32">
        <v>12.721674179244941</v>
      </c>
      <c r="C20" s="43">
        <f>B20/B18</f>
        <v>0.92834407902135285</v>
      </c>
    </row>
    <row r="21" spans="1:3" x14ac:dyDescent="0.25">
      <c r="A21" s="32" t="s">
        <v>19</v>
      </c>
      <c r="B21" s="32">
        <v>204.81008780190331</v>
      </c>
    </row>
    <row r="22" spans="1:3" x14ac:dyDescent="0.25">
      <c r="A22" s="32" t="s">
        <v>20</v>
      </c>
      <c r="B22" s="32">
        <v>2085.4881683147751</v>
      </c>
    </row>
    <row r="23" spans="1:3" x14ac:dyDescent="0.25">
      <c r="A23" s="32" t="s">
        <v>21</v>
      </c>
      <c r="B23" s="32">
        <v>20.123719155362739</v>
      </c>
    </row>
    <row r="24" spans="1:3" x14ac:dyDescent="0.25">
      <c r="A24" s="32" t="s">
        <v>22</v>
      </c>
      <c r="B24" s="32">
        <v>52.506636886478283</v>
      </c>
    </row>
    <row r="25" spans="1:3" x14ac:dyDescent="0.25">
      <c r="A25" s="32" t="s">
        <v>23</v>
      </c>
      <c r="B25" s="32">
        <v>7.7097187002426804</v>
      </c>
    </row>
    <row r="26" spans="1:3" x14ac:dyDescent="0.25">
      <c r="A26" s="32" t="s">
        <v>24</v>
      </c>
      <c r="B26" s="32">
        <v>22.53284958518007</v>
      </c>
    </row>
    <row r="27" spans="1:3" x14ac:dyDescent="0.25">
      <c r="A27" s="32" t="s">
        <v>25</v>
      </c>
      <c r="B27" s="32">
        <v>0.40700370733914149</v>
      </c>
    </row>
    <row r="28" spans="1:3" x14ac:dyDescent="0.25">
      <c r="A28" s="32" t="s">
        <v>26</v>
      </c>
      <c r="B28" s="32">
        <v>0.41995715068109862</v>
      </c>
    </row>
    <row r="29" spans="1:3" x14ac:dyDescent="0.25">
      <c r="A29" s="32" t="s">
        <v>27</v>
      </c>
      <c r="B29" s="32">
        <v>0.37881660515555909</v>
      </c>
    </row>
    <row r="30" spans="1:3" x14ac:dyDescent="0.25">
      <c r="A30" s="32" t="s">
        <v>28</v>
      </c>
      <c r="B30" s="32">
        <v>0.16565201778780561</v>
      </c>
    </row>
    <row r="31" spans="1:3" x14ac:dyDescent="0.25">
      <c r="A31" s="32" t="s">
        <v>29</v>
      </c>
      <c r="B31" s="32">
        <v>0.176364008408187</v>
      </c>
    </row>
    <row r="32" spans="1:3" x14ac:dyDescent="0.25">
      <c r="A32" s="32" t="s">
        <v>30</v>
      </c>
      <c r="B32" s="32">
        <v>0.1435020203415828</v>
      </c>
    </row>
    <row r="33" spans="1:2" x14ac:dyDescent="0.25">
      <c r="A33" s="32" t="s">
        <v>31</v>
      </c>
      <c r="B33" s="32">
        <v>0.122776020071235</v>
      </c>
    </row>
    <row r="34" spans="1:2" x14ac:dyDescent="0.25">
      <c r="A34" s="32" t="s">
        <v>32</v>
      </c>
      <c r="B34" s="32">
        <v>0.1556481995119787</v>
      </c>
    </row>
    <row r="35" spans="1:2" x14ac:dyDescent="0.25">
      <c r="A35" s="32" t="s">
        <v>33</v>
      </c>
      <c r="B35" s="32">
        <v>5.124511848523923E-2</v>
      </c>
    </row>
    <row r="36" spans="1:2" x14ac:dyDescent="0.25">
      <c r="A36" s="32" t="s">
        <v>34</v>
      </c>
      <c r="B36" s="32">
        <v>4922585.3161000004</v>
      </c>
    </row>
    <row r="37" spans="1:2" x14ac:dyDescent="0.25">
      <c r="A37" s="32" t="s">
        <v>35</v>
      </c>
      <c r="B37" s="32">
        <v>1.949648266620577E-2</v>
      </c>
    </row>
    <row r="38" spans="1:2" x14ac:dyDescent="0.25">
      <c r="A38" s="32" t="s">
        <v>36</v>
      </c>
      <c r="B38" s="32">
        <v>4604.5399996071592</v>
      </c>
    </row>
    <row r="39" spans="1:2" x14ac:dyDescent="0.25">
      <c r="A39" s="32" t="s">
        <v>37</v>
      </c>
      <c r="B39" s="32">
        <v>1841.815999842863</v>
      </c>
    </row>
    <row r="40" spans="1:2" x14ac:dyDescent="0.25">
      <c r="A40" s="32" t="s">
        <v>38</v>
      </c>
      <c r="B40" s="32" t="s">
        <v>39</v>
      </c>
    </row>
    <row r="41" spans="1:2" x14ac:dyDescent="0.25">
      <c r="A41" s="32" t="s">
        <v>40</v>
      </c>
      <c r="B41" s="32">
        <v>0</v>
      </c>
    </row>
    <row r="42" spans="1:2" x14ac:dyDescent="0.25">
      <c r="A42" s="32" t="s">
        <v>41</v>
      </c>
      <c r="B42" s="32">
        <v>0</v>
      </c>
    </row>
    <row r="43" spans="1:2" x14ac:dyDescent="0.25">
      <c r="A43" s="32" t="s">
        <v>42</v>
      </c>
      <c r="B43" s="32">
        <v>2.6446871004664699E-3</v>
      </c>
    </row>
    <row r="44" spans="1:2" x14ac:dyDescent="0.25">
      <c r="A44" s="32" t="s">
        <v>43</v>
      </c>
      <c r="B44" s="32">
        <v>0.97930080089677474</v>
      </c>
    </row>
    <row r="45" spans="1:2" x14ac:dyDescent="0.25">
      <c r="A45" s="32" t="s">
        <v>44</v>
      </c>
      <c r="B45" s="32">
        <v>5.6283702457830644</v>
      </c>
    </row>
    <row r="46" spans="1:2" x14ac:dyDescent="0.25">
      <c r="A46" s="32" t="s">
        <v>45</v>
      </c>
      <c r="B46" s="32">
        <v>5.8716375996853243</v>
      </c>
    </row>
    <row r="47" spans="1:2" x14ac:dyDescent="0.25">
      <c r="A47" s="32" t="s">
        <v>46</v>
      </c>
      <c r="B47" s="32">
        <v>1.221666333776662</v>
      </c>
    </row>
    <row r="48" spans="1:2" x14ac:dyDescent="0.25">
      <c r="A48" s="32" t="s">
        <v>47</v>
      </c>
      <c r="B48" s="32">
        <v>0.55726414932335011</v>
      </c>
    </row>
    <row r="49" spans="1:17" x14ac:dyDescent="0.25">
      <c r="A49" s="32" t="s">
        <v>48</v>
      </c>
      <c r="B49" s="32">
        <v>0.55255011753367012</v>
      </c>
    </row>
    <row r="50" spans="1:17" x14ac:dyDescent="0.25">
      <c r="A50" s="32" t="s">
        <v>49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</row>
    <row r="51" spans="1:17" x14ac:dyDescent="0.25">
      <c r="A51" s="32" t="s">
        <v>50</v>
      </c>
      <c r="B51" s="32" t="s">
        <v>39</v>
      </c>
      <c r="C51" s="32" t="s">
        <v>61</v>
      </c>
      <c r="D51" s="32" t="s">
        <v>25</v>
      </c>
      <c r="E51" s="32" t="s">
        <v>62</v>
      </c>
      <c r="F51" s="32" t="s">
        <v>4</v>
      </c>
      <c r="G51" s="32" t="s">
        <v>5</v>
      </c>
      <c r="H51" s="32" t="s">
        <v>6</v>
      </c>
      <c r="I51" s="32" t="s">
        <v>7</v>
      </c>
      <c r="J51" s="32" t="s">
        <v>8</v>
      </c>
      <c r="K51" s="32" t="s">
        <v>9</v>
      </c>
      <c r="L51" s="32" t="s">
        <v>10</v>
      </c>
      <c r="M51" s="32" t="s">
        <v>11</v>
      </c>
      <c r="N51" s="32" t="s">
        <v>12</v>
      </c>
      <c r="O51" s="32" t="s">
        <v>13</v>
      </c>
      <c r="P51" s="32" t="s">
        <v>14</v>
      </c>
      <c r="Q51" s="32" t="s">
        <v>15</v>
      </c>
    </row>
    <row r="52" spans="1:17" x14ac:dyDescent="0.25">
      <c r="A52" s="32" t="s">
        <v>51</v>
      </c>
      <c r="B52" s="32">
        <v>0</v>
      </c>
      <c r="C52" s="32">
        <v>0</v>
      </c>
      <c r="D52" s="32">
        <v>0</v>
      </c>
      <c r="E52" s="32">
        <v>0</v>
      </c>
      <c r="F52" s="32">
        <v>0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M52" s="32">
        <v>0</v>
      </c>
      <c r="N52" s="32">
        <v>0</v>
      </c>
      <c r="O52" s="32">
        <v>0</v>
      </c>
      <c r="P52" s="32">
        <v>0</v>
      </c>
      <c r="Q52" s="32">
        <v>0</v>
      </c>
    </row>
    <row r="53" spans="1:17" x14ac:dyDescent="0.25">
      <c r="A53" s="32" t="s">
        <v>52</v>
      </c>
      <c r="B53" s="32">
        <v>2.8339242532531742E-2</v>
      </c>
      <c r="C53" s="32">
        <v>0.1771410740314123</v>
      </c>
      <c r="D53" s="32">
        <v>0.27970839446436552</v>
      </c>
      <c r="E53" s="32">
        <v>7.9311122436319589E-2</v>
      </c>
      <c r="F53" s="32">
        <v>87.372417690000006</v>
      </c>
      <c r="G53" s="32">
        <v>11698.89782</v>
      </c>
      <c r="H53" s="32">
        <v>373.50473467340669</v>
      </c>
      <c r="I53" s="32">
        <v>7.1930620424999994</v>
      </c>
      <c r="J53" s="32">
        <v>51.246127469999998</v>
      </c>
      <c r="K53" s="32">
        <v>11.189210047846149</v>
      </c>
      <c r="L53" s="32">
        <v>5.2736613780661461</v>
      </c>
      <c r="M53" s="32">
        <v>61.023559659855941</v>
      </c>
      <c r="N53" s="32">
        <v>9.5139257303520228</v>
      </c>
      <c r="O53" s="32">
        <v>8.7514277100000015</v>
      </c>
      <c r="P53" s="32">
        <v>127.9406795</v>
      </c>
      <c r="Q53" s="32">
        <v>17.17644351309341</v>
      </c>
    </row>
    <row r="54" spans="1:17" x14ac:dyDescent="0.25">
      <c r="A54" s="32" t="s">
        <v>53</v>
      </c>
      <c r="B54" s="32">
        <v>0.74803143475979372</v>
      </c>
      <c r="C54" s="32">
        <v>0.27201648492462832</v>
      </c>
      <c r="D54" s="32">
        <v>0.31696248682282041</v>
      </c>
      <c r="E54" s="32">
        <v>0.1010910163095261</v>
      </c>
      <c r="F54" s="32">
        <v>56.565323840000012</v>
      </c>
      <c r="G54" s="32">
        <v>67276.387830000007</v>
      </c>
      <c r="H54" s="32">
        <v>734.18487619672578</v>
      </c>
      <c r="I54" s="32">
        <v>5.5206331349999997</v>
      </c>
      <c r="J54" s="32">
        <v>111.01266927</v>
      </c>
      <c r="K54" s="32">
        <v>13.465918472300061</v>
      </c>
      <c r="L54" s="32">
        <v>4.2432654634679254</v>
      </c>
      <c r="M54" s="32">
        <v>146.33775778323201</v>
      </c>
      <c r="N54" s="32">
        <v>12.414072568193051</v>
      </c>
      <c r="O54" s="32">
        <v>8.4928920800000007</v>
      </c>
      <c r="P54" s="32">
        <v>243.0716951</v>
      </c>
      <c r="Q54" s="32">
        <v>24.932256706601791</v>
      </c>
    </row>
    <row r="55" spans="1:17" x14ac:dyDescent="0.25">
      <c r="A55" s="32" t="s">
        <v>54</v>
      </c>
      <c r="B55" s="32">
        <v>7.8116654910552326</v>
      </c>
      <c r="C55" s="32">
        <v>0.3648488958422792</v>
      </c>
      <c r="D55" s="32">
        <v>0.35039487893612042</v>
      </c>
      <c r="E55" s="32">
        <v>0.12326615497463859</v>
      </c>
      <c r="F55" s="32">
        <v>50.043823230000008</v>
      </c>
      <c r="G55" s="32">
        <v>1052435.0330000001</v>
      </c>
      <c r="H55" s="32">
        <v>912.8936343255192</v>
      </c>
      <c r="I55" s="32">
        <v>4.7171511155000001</v>
      </c>
      <c r="J55" s="32">
        <v>386.37350609999999</v>
      </c>
      <c r="K55" s="32">
        <v>14.67350590048132</v>
      </c>
      <c r="L55" s="32">
        <v>3.991170715033753</v>
      </c>
      <c r="M55" s="32">
        <v>578.79225596932804</v>
      </c>
      <c r="N55" s="32">
        <v>14.381698624135121</v>
      </c>
      <c r="O55" s="32">
        <v>8.6666773250000002</v>
      </c>
      <c r="P55" s="32">
        <v>829.56560960000013</v>
      </c>
      <c r="Q55" s="32">
        <v>31.287775296334701</v>
      </c>
    </row>
    <row r="56" spans="1:17" x14ac:dyDescent="0.25">
      <c r="A56" s="32" t="s">
        <v>55</v>
      </c>
      <c r="B56" s="32">
        <v>24.70185404044415</v>
      </c>
      <c r="C56" s="32">
        <v>0.45519917294950779</v>
      </c>
      <c r="D56" s="32">
        <v>0.37839744235617162</v>
      </c>
      <c r="E56" s="32">
        <v>0.1436893418342528</v>
      </c>
      <c r="F56" s="32">
        <v>39.60034138000001</v>
      </c>
      <c r="G56" s="32">
        <v>139505.27979999999</v>
      </c>
      <c r="H56" s="32">
        <v>914.1226663312367</v>
      </c>
      <c r="I56" s="32">
        <v>4.0904057764999999</v>
      </c>
      <c r="J56" s="32">
        <v>152.33224404000001</v>
      </c>
      <c r="K56" s="32">
        <v>13.736829727486789</v>
      </c>
      <c r="L56" s="32">
        <v>3.5503774669050419</v>
      </c>
      <c r="M56" s="32">
        <v>210.72709777144439</v>
      </c>
      <c r="N56" s="32">
        <v>14.0247664732</v>
      </c>
      <c r="O56" s="32">
        <v>8.7577917930000009</v>
      </c>
      <c r="P56" s="32">
        <v>356.20194099999998</v>
      </c>
      <c r="Q56" s="32">
        <v>32.551975634469173</v>
      </c>
    </row>
    <row r="57" spans="1:17" x14ac:dyDescent="0.25">
      <c r="A57" s="32" t="s">
        <v>56</v>
      </c>
      <c r="B57" s="32">
        <v>31.25273465904932</v>
      </c>
      <c r="C57" s="32">
        <v>0.54943522258364785</v>
      </c>
      <c r="D57" s="32">
        <v>0.40577101596888188</v>
      </c>
      <c r="E57" s="32">
        <v>0.1652321412581278</v>
      </c>
      <c r="F57" s="32">
        <v>35.285419370000007</v>
      </c>
      <c r="G57" s="32">
        <v>674755.00080000004</v>
      </c>
      <c r="H57" s="32">
        <v>866.6288491845753</v>
      </c>
      <c r="I57" s="32">
        <v>3.7031237419999998</v>
      </c>
      <c r="J57" s="32">
        <v>264.20649620000012</v>
      </c>
      <c r="K57" s="32">
        <v>12.31674890634631</v>
      </c>
      <c r="L57" s="32">
        <v>3.3513725283250779</v>
      </c>
      <c r="M57" s="32">
        <v>463.44491313055931</v>
      </c>
      <c r="N57" s="32">
        <v>12.90896846828177</v>
      </c>
      <c r="O57" s="32">
        <v>8.909489820000001</v>
      </c>
      <c r="P57" s="32">
        <v>730.7254501000001</v>
      </c>
      <c r="Q57" s="32">
        <v>31.75947943653107</v>
      </c>
    </row>
    <row r="58" spans="1:17" x14ac:dyDescent="0.25">
      <c r="A58" s="32" t="s">
        <v>57</v>
      </c>
      <c r="B58" s="32">
        <v>23.168109320963719</v>
      </c>
      <c r="C58" s="32">
        <v>0.6455531705191474</v>
      </c>
      <c r="D58" s="32">
        <v>0.43287565348696111</v>
      </c>
      <c r="E58" s="32">
        <v>0.18798681149564819</v>
      </c>
      <c r="F58" s="32">
        <v>31.902097870000009</v>
      </c>
      <c r="G58" s="32">
        <v>297792.89630000008</v>
      </c>
      <c r="H58" s="32">
        <v>697.98928474107413</v>
      </c>
      <c r="I58" s="32">
        <v>3.4943499830000011</v>
      </c>
      <c r="J58" s="32">
        <v>191.67741580000001</v>
      </c>
      <c r="K58" s="32">
        <v>10.463106718104241</v>
      </c>
      <c r="L58" s="32">
        <v>3.1866523409408591</v>
      </c>
      <c r="M58" s="32">
        <v>307.88053353142419</v>
      </c>
      <c r="N58" s="32">
        <v>11.03725771171379</v>
      </c>
      <c r="O58" s="32">
        <v>9.0049755849999986</v>
      </c>
      <c r="P58" s="32">
        <v>549.2260225</v>
      </c>
      <c r="Q58" s="32">
        <v>28.77109589570939</v>
      </c>
    </row>
    <row r="59" spans="1:17" x14ac:dyDescent="0.25">
      <c r="A59" s="32" t="s">
        <v>58</v>
      </c>
      <c r="B59" s="32">
        <v>10.191227603045069</v>
      </c>
      <c r="C59" s="32">
        <v>0.74015257039989213</v>
      </c>
      <c r="D59" s="32">
        <v>0.45704873503393328</v>
      </c>
      <c r="E59" s="32">
        <v>0.20944324943495601</v>
      </c>
      <c r="F59" s="32">
        <v>29.107147820000002</v>
      </c>
      <c r="G59" s="32">
        <v>320769.8358</v>
      </c>
      <c r="H59" s="32">
        <v>522.08223538812024</v>
      </c>
      <c r="I59" s="32">
        <v>3.2798096410000008</v>
      </c>
      <c r="J59" s="32">
        <v>196.74697524999999</v>
      </c>
      <c r="K59" s="32">
        <v>8.7701180115540414</v>
      </c>
      <c r="L59" s="32">
        <v>3.0438615129008371</v>
      </c>
      <c r="M59" s="32">
        <v>319.53749376980983</v>
      </c>
      <c r="N59" s="32">
        <v>9.1997581438007057</v>
      </c>
      <c r="O59" s="32">
        <v>9.1018512440000006</v>
      </c>
      <c r="P59" s="32">
        <v>578.17572670000004</v>
      </c>
      <c r="Q59" s="32">
        <v>25.30336506757795</v>
      </c>
    </row>
    <row r="60" spans="1:17" x14ac:dyDescent="0.25">
      <c r="A60" s="32" t="s">
        <v>59</v>
      </c>
      <c r="B60" s="32">
        <v>2.013020480552584</v>
      </c>
      <c r="C60" s="32">
        <v>0.83174849645397664</v>
      </c>
      <c r="D60" s="32">
        <v>0.47724749199547112</v>
      </c>
      <c r="E60" s="32">
        <v>0.2282460489989975</v>
      </c>
      <c r="F60" s="32">
        <v>28.617085830000001</v>
      </c>
      <c r="G60" s="32">
        <v>105070.53350000001</v>
      </c>
      <c r="H60" s="32">
        <v>400.26438909647987</v>
      </c>
      <c r="I60" s="32">
        <v>3.228114567</v>
      </c>
      <c r="J60" s="32">
        <v>122.6538394</v>
      </c>
      <c r="K60" s="32">
        <v>7.5645780479581157</v>
      </c>
      <c r="L60" s="32">
        <v>3.0181287801316681</v>
      </c>
      <c r="M60" s="32">
        <v>182.8797133627871</v>
      </c>
      <c r="N60" s="32">
        <v>7.8627742683796056</v>
      </c>
      <c r="O60" s="32">
        <v>9.319288138000001</v>
      </c>
      <c r="P60" s="32">
        <v>374.56795069999998</v>
      </c>
      <c r="Q60" s="32">
        <v>22.614115528840969</v>
      </c>
    </row>
    <row r="61" spans="1:17" x14ac:dyDescent="0.25">
      <c r="A61" s="32" t="s">
        <v>60</v>
      </c>
      <c r="B61" s="32">
        <v>8.5017727597595211E-2</v>
      </c>
      <c r="C61" s="32">
        <v>0.92436290394733189</v>
      </c>
      <c r="D61" s="32">
        <v>0.49518042921772198</v>
      </c>
      <c r="E61" s="32">
        <v>0.24581250743719291</v>
      </c>
      <c r="F61" s="32">
        <v>25.82213577000001</v>
      </c>
      <c r="G61" s="32">
        <v>60722.797300000013</v>
      </c>
      <c r="H61" s="32">
        <v>496.23532620181328</v>
      </c>
      <c r="I61" s="32">
        <v>3.0141870074999999</v>
      </c>
      <c r="J61" s="32">
        <v>95.646655304999996</v>
      </c>
      <c r="K61" s="32">
        <v>6.8674997116739931</v>
      </c>
      <c r="L61" s="32">
        <v>2.8669567659752202</v>
      </c>
      <c r="M61" s="32">
        <v>139.02757531268529</v>
      </c>
      <c r="N61" s="32">
        <v>7.2254093982279226</v>
      </c>
      <c r="O61" s="32">
        <v>9.4693477589999997</v>
      </c>
      <c r="P61" s="32">
        <v>298.32350000000002</v>
      </c>
      <c r="Q61" s="32">
        <v>21.135268162435899</v>
      </c>
    </row>
    <row r="62" spans="1:17" x14ac:dyDescent="0.25">
      <c r="A62" s="32" t="s">
        <v>63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</row>
    <row r="63" spans="1:17" x14ac:dyDescent="0.25">
      <c r="A63" s="32" t="s">
        <v>64</v>
      </c>
      <c r="B63" s="32">
        <v>10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</row>
    <row r="64" spans="1:17" x14ac:dyDescent="0.25">
      <c r="A64" s="32" t="s">
        <v>65</v>
      </c>
      <c r="B64" s="32">
        <v>161.29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</row>
    <row r="65" spans="1:17" x14ac:dyDescent="0.25">
      <c r="A65" s="32" t="s">
        <v>66</v>
      </c>
      <c r="B65" s="32">
        <v>33.3747174955842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</row>
    <row r="66" spans="1:17" x14ac:dyDescent="0.25">
      <c r="A66" s="32" t="s">
        <v>67</v>
      </c>
      <c r="B66" s="32">
        <v>75.746937135971066</v>
      </c>
    </row>
    <row r="67" spans="1:17" x14ac:dyDescent="0.25">
      <c r="A67" s="32" t="s">
        <v>68</v>
      </c>
      <c r="B67" s="32">
        <v>403.48015960031438</v>
      </c>
    </row>
    <row r="68" spans="1:17" x14ac:dyDescent="0.25">
      <c r="A68" s="32" t="s">
        <v>69</v>
      </c>
      <c r="B68" s="32"/>
    </row>
    <row r="69" spans="1:17" x14ac:dyDescent="0.25">
      <c r="A69" s="32" t="s">
        <v>118</v>
      </c>
      <c r="B69" s="32"/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9"/>
  <sheetViews>
    <sheetView workbookViewId="0">
      <selection activeCell="E22" sqref="E22"/>
    </sheetView>
  </sheetViews>
  <sheetFormatPr defaultRowHeight="15" x14ac:dyDescent="0.25"/>
  <cols>
    <col min="1" max="1" width="75" bestFit="1" customWidth="1"/>
    <col min="2" max="2" width="12" bestFit="1" customWidth="1"/>
    <col min="3" max="3" width="16.85546875" bestFit="1" customWidth="1"/>
    <col min="4" max="4" width="13.28515625" bestFit="1" customWidth="1"/>
    <col min="5" max="5" width="21.42578125" bestFit="1" customWidth="1"/>
    <col min="6" max="6" width="26.5703125" bestFit="1" customWidth="1"/>
    <col min="7" max="7" width="30.28515625" bestFit="1" customWidth="1"/>
    <col min="8" max="8" width="26.28515625" bestFit="1" customWidth="1"/>
    <col min="9" max="9" width="28.85546875" bestFit="1" customWidth="1"/>
    <col min="10" max="10" width="32.5703125" bestFit="1" customWidth="1"/>
    <col min="11" max="11" width="28.5703125" bestFit="1" customWidth="1"/>
    <col min="12" max="12" width="26.140625" bestFit="1" customWidth="1"/>
    <col min="13" max="13" width="29.85546875" bestFit="1" customWidth="1"/>
    <col min="14" max="14" width="25.85546875" bestFit="1" customWidth="1"/>
    <col min="15" max="15" width="29.85546875" bestFit="1" customWidth="1"/>
    <col min="16" max="16" width="33.42578125" bestFit="1" customWidth="1"/>
    <col min="17" max="17" width="29.42578125" bestFit="1" customWidth="1"/>
  </cols>
  <sheetData>
    <row r="1" spans="1:17" x14ac:dyDescent="0.25">
      <c r="A1" t="s">
        <v>123</v>
      </c>
    </row>
    <row r="2" spans="1:17" x14ac:dyDescent="0.25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</row>
    <row r="3" spans="1:17" x14ac:dyDescent="0.25">
      <c r="A3" s="32" t="s">
        <v>1</v>
      </c>
      <c r="B3" s="32">
        <v>3.33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</row>
    <row r="4" spans="1:17" x14ac:dyDescent="0.25">
      <c r="A4" s="32" t="s">
        <v>2</v>
      </c>
      <c r="B4" s="32">
        <v>2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</row>
    <row r="5" spans="1:17" x14ac:dyDescent="0.25">
      <c r="A5" s="32" t="s">
        <v>3</v>
      </c>
      <c r="B5" s="32">
        <v>44.355600000000003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1:17" x14ac:dyDescent="0.25">
      <c r="A6" s="32" t="s">
        <v>4</v>
      </c>
      <c r="B6" s="32">
        <v>177.5305855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</row>
    <row r="7" spans="1:17" x14ac:dyDescent="0.25">
      <c r="A7" s="32" t="s">
        <v>5</v>
      </c>
      <c r="B7" s="32">
        <v>188673.66829999999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</row>
    <row r="8" spans="1:17" x14ac:dyDescent="0.25">
      <c r="A8" s="32" t="s">
        <v>6</v>
      </c>
      <c r="B8" s="32">
        <v>2746.4560056352011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</row>
    <row r="9" spans="1:17" x14ac:dyDescent="0.25">
      <c r="A9" s="32" t="s">
        <v>7</v>
      </c>
      <c r="B9" s="32">
        <v>15.03459217466796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</row>
    <row r="10" spans="1:17" x14ac:dyDescent="0.25">
      <c r="A10" s="32" t="s">
        <v>8</v>
      </c>
      <c r="B10" s="32">
        <v>490.12934571376678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spans="1:17" x14ac:dyDescent="0.25">
      <c r="A11" s="32" t="s">
        <v>9</v>
      </c>
      <c r="B11" s="32">
        <v>51.217537483850123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</row>
    <row r="12" spans="1:17" x14ac:dyDescent="0.25">
      <c r="A12" s="32" t="s">
        <v>10</v>
      </c>
      <c r="B12" s="32">
        <v>7.5172960873339782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</row>
    <row r="13" spans="1:17" x14ac:dyDescent="0.25">
      <c r="A13" s="32" t="s">
        <v>11</v>
      </c>
      <c r="B13" s="32">
        <v>245.06467285688339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</row>
    <row r="14" spans="1:17" x14ac:dyDescent="0.25">
      <c r="A14" s="32" t="s">
        <v>12</v>
      </c>
      <c r="B14" s="32">
        <v>25.608768741925061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</row>
    <row r="15" spans="1:17" x14ac:dyDescent="0.25">
      <c r="A15" s="32" t="s">
        <v>13</v>
      </c>
      <c r="B15" s="32">
        <v>22.80086447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</row>
    <row r="16" spans="1:17" x14ac:dyDescent="0.25">
      <c r="A16" s="32" t="s">
        <v>14</v>
      </c>
      <c r="B16" s="32">
        <v>517.38071070000012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</row>
    <row r="17" spans="1:17" x14ac:dyDescent="0.25">
      <c r="A17" s="32" t="s">
        <v>15</v>
      </c>
      <c r="B17" s="32">
        <v>64.004878706173514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</row>
    <row r="18" spans="1:17" x14ac:dyDescent="0.25">
      <c r="A18" s="32" t="s">
        <v>16</v>
      </c>
      <c r="B18" s="32">
        <v>0.37049278618659232</v>
      </c>
      <c r="C18" s="43" t="s">
        <v>180</v>
      </c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</row>
    <row r="19" spans="1:17" x14ac:dyDescent="0.25">
      <c r="A19" s="32" t="s">
        <v>17</v>
      </c>
      <c r="B19" s="32">
        <v>1.987423606017307E-3</v>
      </c>
      <c r="C19" s="43">
        <f>B19/B18</f>
        <v>5.3642707229834569E-3</v>
      </c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</row>
    <row r="20" spans="1:17" x14ac:dyDescent="0.25">
      <c r="A20" s="32" t="s">
        <v>18</v>
      </c>
      <c r="B20" s="32">
        <v>0.3685053625805757</v>
      </c>
      <c r="C20" s="43">
        <f>B20/B18</f>
        <v>0.99463572927701838</v>
      </c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</row>
    <row r="21" spans="1:17" x14ac:dyDescent="0.25">
      <c r="A21" s="32" t="s">
        <v>19</v>
      </c>
      <c r="B21" s="32">
        <v>401.58268611372858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</row>
    <row r="22" spans="1:17" x14ac:dyDescent="0.25">
      <c r="A22" s="32" t="s">
        <v>20</v>
      </c>
      <c r="B22" s="32">
        <v>3005.4263360647778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</row>
    <row r="23" spans="1:17" x14ac:dyDescent="0.25">
      <c r="A23" s="32" t="s">
        <v>21</v>
      </c>
      <c r="B23" s="32">
        <v>31.994743734487781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x14ac:dyDescent="0.25">
      <c r="A24" s="32" t="s">
        <v>22</v>
      </c>
      <c r="B24" s="32">
        <v>67.540112427202203</v>
      </c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</row>
    <row r="25" spans="1:17" x14ac:dyDescent="0.25">
      <c r="A25" s="32" t="s">
        <v>23</v>
      </c>
      <c r="B25" s="32">
        <v>11.263885305399199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</row>
    <row r="26" spans="1:17" x14ac:dyDescent="0.25">
      <c r="A26" s="32" t="s">
        <v>24</v>
      </c>
      <c r="B26" s="32">
        <v>27.193033091134751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</row>
    <row r="27" spans="1:17" x14ac:dyDescent="0.25">
      <c r="A27" s="32" t="s">
        <v>25</v>
      </c>
      <c r="B27" s="32">
        <v>0.40957172798216318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</row>
    <row r="28" spans="1:17" x14ac:dyDescent="0.25">
      <c r="A28" s="32" t="s">
        <v>26</v>
      </c>
      <c r="B28" s="32">
        <v>0.45305849200446369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</row>
    <row r="29" spans="1:17" x14ac:dyDescent="0.25">
      <c r="A29" s="32" t="s">
        <v>27</v>
      </c>
      <c r="B29" s="32">
        <v>0.40476900301002428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</row>
    <row r="30" spans="1:17" x14ac:dyDescent="0.25">
      <c r="A30" s="32" t="s">
        <v>28</v>
      </c>
      <c r="B30" s="32">
        <v>0.16774900036229509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</row>
    <row r="31" spans="1:17" x14ac:dyDescent="0.25">
      <c r="A31" s="32" t="s">
        <v>29</v>
      </c>
      <c r="B31" s="32">
        <v>0.20526199717735871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</row>
    <row r="32" spans="1:17" x14ac:dyDescent="0.25">
      <c r="A32" s="32" t="s">
        <v>30</v>
      </c>
      <c r="B32" s="32">
        <v>0.16383794579772901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</row>
    <row r="33" spans="1:17" x14ac:dyDescent="0.25">
      <c r="A33" s="32" t="s">
        <v>31</v>
      </c>
      <c r="B33" s="32">
        <v>5.2693780395674267E-2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</row>
    <row r="34" spans="1:17" x14ac:dyDescent="0.25">
      <c r="A34" s="32" t="s">
        <v>32</v>
      </c>
      <c r="B34" s="32">
        <v>0.10350998339704991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</row>
    <row r="35" spans="1:17" x14ac:dyDescent="0.25">
      <c r="A35" s="32" t="s">
        <v>33</v>
      </c>
      <c r="B35" s="32">
        <v>4.7081584302655362E-2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</row>
    <row r="36" spans="1:17" x14ac:dyDescent="0.25">
      <c r="A36" s="32" t="s">
        <v>34</v>
      </c>
      <c r="B36" s="32">
        <v>22422687.2676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</row>
    <row r="37" spans="1:17" x14ac:dyDescent="0.25">
      <c r="A37" s="32" t="s">
        <v>35</v>
      </c>
      <c r="B37" s="32">
        <v>1.9595264555108649E-4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</row>
    <row r="38" spans="1:17" x14ac:dyDescent="0.25">
      <c r="A38" s="32" t="s">
        <v>36</v>
      </c>
      <c r="B38" s="32">
        <v>675.83253881151154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</row>
    <row r="39" spans="1:17" x14ac:dyDescent="0.25">
      <c r="A39" s="32" t="s">
        <v>37</v>
      </c>
      <c r="B39" s="32">
        <v>270.33301552460472</v>
      </c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</row>
    <row r="40" spans="1:17" x14ac:dyDescent="0.25">
      <c r="A40" s="32" t="s">
        <v>38</v>
      </c>
      <c r="B40" s="32" t="s">
        <v>39</v>
      </c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</row>
    <row r="41" spans="1:17" x14ac:dyDescent="0.25">
      <c r="A41" s="32" t="s">
        <v>40</v>
      </c>
      <c r="B41" s="32">
        <v>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</row>
    <row r="42" spans="1:17" x14ac:dyDescent="0.25">
      <c r="A42" s="32" t="s">
        <v>41</v>
      </c>
      <c r="B42" s="32">
        <v>0</v>
      </c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</row>
    <row r="43" spans="1:17" x14ac:dyDescent="0.25">
      <c r="A43" s="32" t="s">
        <v>42</v>
      </c>
      <c r="B43" s="32">
        <v>0</v>
      </c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</row>
    <row r="44" spans="1:17" x14ac:dyDescent="0.25">
      <c r="A44" s="32" t="s">
        <v>43</v>
      </c>
      <c r="B44" s="32">
        <v>1.987423606017307E-3</v>
      </c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</row>
    <row r="45" spans="1:17" x14ac:dyDescent="0.25">
      <c r="A45" s="32" t="s">
        <v>44</v>
      </c>
      <c r="B45" s="32">
        <v>0.1244835686656363</v>
      </c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17" x14ac:dyDescent="0.25">
      <c r="A46" s="32" t="s">
        <v>45</v>
      </c>
      <c r="B46" s="32">
        <v>0.21863163600614999</v>
      </c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</row>
    <row r="47" spans="1:17" x14ac:dyDescent="0.25">
      <c r="A47" s="32" t="s">
        <v>46</v>
      </c>
      <c r="B47" s="32">
        <v>2.5390157908788721E-2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</row>
    <row r="48" spans="1:17" x14ac:dyDescent="0.25">
      <c r="A48" s="32" t="s">
        <v>47</v>
      </c>
      <c r="B48" s="32">
        <v>0.55125386883377991</v>
      </c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</row>
    <row r="49" spans="1:17" x14ac:dyDescent="0.25">
      <c r="A49" s="32" t="s">
        <v>48</v>
      </c>
      <c r="B49" s="32">
        <v>0.54736058598701742</v>
      </c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</row>
    <row r="50" spans="1:17" x14ac:dyDescent="0.25">
      <c r="A50" s="32" t="s">
        <v>49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</row>
    <row r="51" spans="1:17" x14ac:dyDescent="0.25">
      <c r="A51" s="32" t="s">
        <v>50</v>
      </c>
      <c r="B51" s="32" t="s">
        <v>39</v>
      </c>
      <c r="C51" s="32" t="s">
        <v>61</v>
      </c>
      <c r="D51" s="32" t="s">
        <v>25</v>
      </c>
      <c r="E51" s="32" t="s">
        <v>62</v>
      </c>
      <c r="F51" s="32" t="s">
        <v>4</v>
      </c>
      <c r="G51" s="32" t="s">
        <v>5</v>
      </c>
      <c r="H51" s="32" t="s">
        <v>6</v>
      </c>
      <c r="I51" s="32" t="s">
        <v>7</v>
      </c>
      <c r="J51" s="32" t="s">
        <v>8</v>
      </c>
      <c r="K51" s="32" t="s">
        <v>9</v>
      </c>
      <c r="L51" s="32" t="s">
        <v>10</v>
      </c>
      <c r="M51" s="32" t="s">
        <v>11</v>
      </c>
      <c r="N51" s="32" t="s">
        <v>12</v>
      </c>
      <c r="O51" s="32" t="s">
        <v>13</v>
      </c>
      <c r="P51" s="32" t="s">
        <v>14</v>
      </c>
      <c r="Q51" s="32" t="s">
        <v>15</v>
      </c>
    </row>
    <row r="52" spans="1:17" x14ac:dyDescent="0.25">
      <c r="A52" s="32" t="s">
        <v>51</v>
      </c>
      <c r="B52" s="32">
        <v>2.5859839668994052E-3</v>
      </c>
      <c r="C52" s="32">
        <v>5.852132407150145E-2</v>
      </c>
      <c r="D52" s="32">
        <v>0.14183445242165649</v>
      </c>
      <c r="E52" s="32">
        <v>2.011701189375115E-2</v>
      </c>
      <c r="F52" s="32">
        <v>2056.5027260000011</v>
      </c>
      <c r="G52" s="32">
        <v>2056.5027260000011</v>
      </c>
      <c r="H52" s="32">
        <v>2056.5027260000011</v>
      </c>
      <c r="I52" s="32">
        <v>63.194374884500007</v>
      </c>
      <c r="J52" s="32">
        <v>63.194374884500007</v>
      </c>
      <c r="K52" s="32">
        <v>63.194374884500007</v>
      </c>
      <c r="L52" s="32">
        <v>25.585252561773071</v>
      </c>
      <c r="M52" s="32">
        <v>25.585252561773071</v>
      </c>
      <c r="N52" s="32">
        <v>25.585252561773071</v>
      </c>
      <c r="O52" s="32">
        <v>22.80086447</v>
      </c>
      <c r="P52" s="32">
        <v>22.80086447</v>
      </c>
      <c r="Q52" s="32">
        <v>22.80086447</v>
      </c>
    </row>
    <row r="53" spans="1:17" x14ac:dyDescent="0.25">
      <c r="A53" s="32" t="s">
        <v>52</v>
      </c>
      <c r="B53" s="32">
        <v>6.9821567106283941E-2</v>
      </c>
      <c r="C53" s="32">
        <v>0.18049974363984839</v>
      </c>
      <c r="D53" s="32">
        <v>0.27583490821394802</v>
      </c>
      <c r="E53" s="32">
        <v>7.7334980994897939E-2</v>
      </c>
      <c r="F53" s="32">
        <v>722.0467354000001</v>
      </c>
      <c r="G53" s="32">
        <v>8990.3093470000003</v>
      </c>
      <c r="H53" s="32">
        <v>2447.2260262703712</v>
      </c>
      <c r="I53" s="32">
        <v>21.654199283000001</v>
      </c>
      <c r="J53" s="32">
        <v>53.647565524999997</v>
      </c>
      <c r="K53" s="32">
        <v>30.929452264314818</v>
      </c>
      <c r="L53" s="32">
        <v>15.16029729802657</v>
      </c>
      <c r="M53" s="32">
        <v>53.494900177499531</v>
      </c>
      <c r="N53" s="32">
        <v>26.514037637722961</v>
      </c>
      <c r="O53" s="32">
        <v>24.571508699999999</v>
      </c>
      <c r="P53" s="32">
        <v>116.36197559999999</v>
      </c>
      <c r="Q53" s="32">
        <v>47.144035941111113</v>
      </c>
    </row>
    <row r="54" spans="1:17" x14ac:dyDescent="0.25">
      <c r="A54" s="32" t="s">
        <v>53</v>
      </c>
      <c r="B54" s="32">
        <v>1.569692267907939</v>
      </c>
      <c r="C54" s="32">
        <v>0.26810618106534873</v>
      </c>
      <c r="D54" s="32">
        <v>0.3172472777214172</v>
      </c>
      <c r="E54" s="32">
        <v>0.1013870680259303</v>
      </c>
      <c r="F54" s="32">
        <v>405.52159840000007</v>
      </c>
      <c r="G54" s="32">
        <v>57094.930440000011</v>
      </c>
      <c r="H54" s="32">
        <v>5029.1182790560142</v>
      </c>
      <c r="I54" s="32">
        <v>14.79500427</v>
      </c>
      <c r="J54" s="32">
        <v>121.169539505</v>
      </c>
      <c r="K54" s="32">
        <v>36.317850814218303</v>
      </c>
      <c r="L54" s="32">
        <v>11.36140545142954</v>
      </c>
      <c r="M54" s="32">
        <v>134.81053671737919</v>
      </c>
      <c r="N54" s="32">
        <v>33.967601313939049</v>
      </c>
      <c r="O54" s="32">
        <v>22.833093399999999</v>
      </c>
      <c r="P54" s="32">
        <v>262.47993070000001</v>
      </c>
      <c r="Q54" s="32">
        <v>68.767287648500826</v>
      </c>
    </row>
    <row r="55" spans="1:17" x14ac:dyDescent="0.25">
      <c r="A55" s="32" t="s">
        <v>54</v>
      </c>
      <c r="B55" s="32">
        <v>10.28704422032583</v>
      </c>
      <c r="C55" s="32">
        <v>0.36188427101149029</v>
      </c>
      <c r="D55" s="32">
        <v>0.35294704798007531</v>
      </c>
      <c r="E55" s="32">
        <v>0.12509499380080349</v>
      </c>
      <c r="F55" s="32">
        <v>395.18551580000008</v>
      </c>
      <c r="G55" s="32">
        <v>148407.9044</v>
      </c>
      <c r="H55" s="32">
        <v>4712.22990829628</v>
      </c>
      <c r="I55" s="32">
        <v>12.9998573425</v>
      </c>
      <c r="J55" s="32">
        <v>198.00050820000001</v>
      </c>
      <c r="K55" s="32">
        <v>35.252308888992843</v>
      </c>
      <c r="L55" s="32">
        <v>11.2156790501414</v>
      </c>
      <c r="M55" s="32">
        <v>217.34696491632661</v>
      </c>
      <c r="N55" s="32">
        <v>34.554345608492753</v>
      </c>
      <c r="O55" s="32">
        <v>24.291188940000001</v>
      </c>
      <c r="P55" s="32">
        <v>381.65966209999999</v>
      </c>
      <c r="Q55" s="32">
        <v>76.410858730575669</v>
      </c>
    </row>
    <row r="56" spans="1:17" x14ac:dyDescent="0.25">
      <c r="A56" s="32" t="s">
        <v>55</v>
      </c>
      <c r="B56" s="32">
        <v>24.228083785880528</v>
      </c>
      <c r="C56" s="32">
        <v>0.45385547227972711</v>
      </c>
      <c r="D56" s="32">
        <v>0.38224796778970699</v>
      </c>
      <c r="E56" s="32">
        <v>0.14654094172167631</v>
      </c>
      <c r="F56" s="32">
        <v>316.63855130000007</v>
      </c>
      <c r="G56" s="32">
        <v>176887.99359999999</v>
      </c>
      <c r="H56" s="32">
        <v>3585.4071854506778</v>
      </c>
      <c r="I56" s="32">
        <v>10.7032752135</v>
      </c>
      <c r="J56" s="32">
        <v>228.17153975000011</v>
      </c>
      <c r="K56" s="32">
        <v>29.843084504633421</v>
      </c>
      <c r="L56" s="32">
        <v>10.03938151609467</v>
      </c>
      <c r="M56" s="32">
        <v>237.28716170516921</v>
      </c>
      <c r="N56" s="32">
        <v>29.93310275227218</v>
      </c>
      <c r="O56" s="32">
        <v>24.84062643</v>
      </c>
      <c r="P56" s="32">
        <v>467.46388300000001</v>
      </c>
      <c r="Q56" s="32">
        <v>71.140822788319994</v>
      </c>
    </row>
    <row r="57" spans="1:17" x14ac:dyDescent="0.25">
      <c r="A57" s="32" t="s">
        <v>56</v>
      </c>
      <c r="B57" s="32">
        <v>28.531161106801139</v>
      </c>
      <c r="C57" s="32">
        <v>0.54944221358517042</v>
      </c>
      <c r="D57" s="32">
        <v>0.41065952496336111</v>
      </c>
      <c r="E57" s="32">
        <v>0.16904976614379141</v>
      </c>
      <c r="F57" s="32">
        <v>259.89483150000012</v>
      </c>
      <c r="G57" s="32">
        <v>188673.66829999999</v>
      </c>
      <c r="H57" s="32">
        <v>2615.8029367157078</v>
      </c>
      <c r="I57" s="32">
        <v>10.062196453</v>
      </c>
      <c r="J57" s="32">
        <v>181.81642325000001</v>
      </c>
      <c r="K57" s="32">
        <v>25.031073377992289</v>
      </c>
      <c r="L57" s="32">
        <v>9.0954435974569421</v>
      </c>
      <c r="M57" s="32">
        <v>245.06467285688339</v>
      </c>
      <c r="N57" s="32">
        <v>25.408547652940349</v>
      </c>
      <c r="O57" s="32">
        <v>24.40160659</v>
      </c>
      <c r="P57" s="32">
        <v>517.38071070000012</v>
      </c>
      <c r="Q57" s="32">
        <v>64.579063444749394</v>
      </c>
    </row>
    <row r="58" spans="1:17" x14ac:dyDescent="0.25">
      <c r="A58" s="32" t="s">
        <v>57</v>
      </c>
      <c r="B58" s="32">
        <v>22.073959141453319</v>
      </c>
      <c r="C58" s="32">
        <v>0.64592120151784849</v>
      </c>
      <c r="D58" s="32">
        <v>0.43811860297713029</v>
      </c>
      <c r="E58" s="32">
        <v>0.19229144047816391</v>
      </c>
      <c r="F58" s="32">
        <v>223.37625720000011</v>
      </c>
      <c r="G58" s="32">
        <v>163275.88810000001</v>
      </c>
      <c r="H58" s="32">
        <v>1851.378816640429</v>
      </c>
      <c r="I58" s="32">
        <v>9.0348830055000011</v>
      </c>
      <c r="J58" s="32">
        <v>183.82185369999999</v>
      </c>
      <c r="K58" s="32">
        <v>20.92233796885245</v>
      </c>
      <c r="L58" s="32">
        <v>8.4322518348003079</v>
      </c>
      <c r="M58" s="32">
        <v>227.97440504948869</v>
      </c>
      <c r="N58" s="32">
        <v>21.253907003304469</v>
      </c>
      <c r="O58" s="32">
        <v>23.611471420000001</v>
      </c>
      <c r="P58" s="32">
        <v>482.64029979999998</v>
      </c>
      <c r="Q58" s="32">
        <v>57.589058445556468</v>
      </c>
    </row>
    <row r="59" spans="1:17" x14ac:dyDescent="0.25">
      <c r="A59" s="32" t="s">
        <v>58</v>
      </c>
      <c r="B59" s="32">
        <v>10.786139125937421</v>
      </c>
      <c r="C59" s="32">
        <v>0.74078013655721675</v>
      </c>
      <c r="D59" s="32">
        <v>0.46170888427619178</v>
      </c>
      <c r="E59" s="32">
        <v>0.21345546623245321</v>
      </c>
      <c r="F59" s="32">
        <v>194.05237450000001</v>
      </c>
      <c r="G59" s="32">
        <v>67127.008830000006</v>
      </c>
      <c r="H59" s="32">
        <v>1240.13087700247</v>
      </c>
      <c r="I59" s="32">
        <v>8.0802754305000004</v>
      </c>
      <c r="J59" s="32">
        <v>113.99690237</v>
      </c>
      <c r="K59" s="32">
        <v>17.641525809730279</v>
      </c>
      <c r="L59" s="32">
        <v>7.8593122625831162</v>
      </c>
      <c r="M59" s="32">
        <v>146.1752049443941</v>
      </c>
      <c r="N59" s="32">
        <v>17.786569184563682</v>
      </c>
      <c r="O59" s="32">
        <v>24.17303785</v>
      </c>
      <c r="P59" s="32">
        <v>303.68162640000003</v>
      </c>
      <c r="Q59" s="32">
        <v>50.909638716871257</v>
      </c>
    </row>
    <row r="60" spans="1:17" x14ac:dyDescent="0.25">
      <c r="A60" s="32" t="s">
        <v>59</v>
      </c>
      <c r="B60" s="32">
        <v>2.3351435221101631</v>
      </c>
      <c r="C60" s="32">
        <v>0.83105203484318502</v>
      </c>
      <c r="D60" s="32">
        <v>0.48037423905559767</v>
      </c>
      <c r="E60" s="32">
        <v>0.2309832127041897</v>
      </c>
      <c r="F60" s="32">
        <v>196.74623539999999</v>
      </c>
      <c r="G60" s="32">
        <v>22375.402060000011</v>
      </c>
      <c r="H60" s="32">
        <v>976.19965319800679</v>
      </c>
      <c r="I60" s="32">
        <v>8.4642689045000008</v>
      </c>
      <c r="J60" s="32">
        <v>72.208344830000001</v>
      </c>
      <c r="K60" s="32">
        <v>16.001560787659471</v>
      </c>
      <c r="L60" s="32">
        <v>7.9136762504706564</v>
      </c>
      <c r="M60" s="32">
        <v>84.393789362933333</v>
      </c>
      <c r="N60" s="32">
        <v>16.026616833768699</v>
      </c>
      <c r="O60" s="32">
        <v>24.435613780000001</v>
      </c>
      <c r="P60" s="32">
        <v>214.18835870000001</v>
      </c>
      <c r="Q60" s="32">
        <v>47.84395306318936</v>
      </c>
    </row>
    <row r="61" spans="1:17" x14ac:dyDescent="0.25">
      <c r="A61" s="32" t="s">
        <v>60</v>
      </c>
      <c r="B61" s="32">
        <v>0.1163692785104732</v>
      </c>
      <c r="C61" s="32">
        <v>0.92786302079326155</v>
      </c>
      <c r="D61" s="32">
        <v>0.50051225146451173</v>
      </c>
      <c r="E61" s="32">
        <v>0.25063687489353398</v>
      </c>
      <c r="F61" s="32">
        <v>177.5305855</v>
      </c>
      <c r="G61" s="32">
        <v>3856.2862840000012</v>
      </c>
      <c r="H61" s="32">
        <v>668.87304352666683</v>
      </c>
      <c r="I61" s="32">
        <v>7.9033407370000006</v>
      </c>
      <c r="J61" s="32">
        <v>33.767454620000009</v>
      </c>
      <c r="K61" s="32">
        <v>13.883486811433331</v>
      </c>
      <c r="L61" s="32">
        <v>7.5172960873339782</v>
      </c>
      <c r="M61" s="32">
        <v>35.035611142837993</v>
      </c>
      <c r="N61" s="32">
        <v>13.670910277163451</v>
      </c>
      <c r="O61" s="32">
        <v>24.8290772</v>
      </c>
      <c r="P61" s="32">
        <v>104.1289453</v>
      </c>
      <c r="Q61" s="32">
        <v>42.71686255311112</v>
      </c>
    </row>
    <row r="62" spans="1:17" x14ac:dyDescent="0.25">
      <c r="A62" s="32" t="s">
        <v>63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</row>
    <row r="63" spans="1:17" x14ac:dyDescent="0.25">
      <c r="A63" s="32" t="s">
        <v>64</v>
      </c>
      <c r="B63" s="32">
        <v>10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</row>
    <row r="64" spans="1:17" x14ac:dyDescent="0.25">
      <c r="A64" s="32" t="s">
        <v>65</v>
      </c>
      <c r="B64" s="32">
        <v>1108.8900000000001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</row>
    <row r="65" spans="1:17" x14ac:dyDescent="0.25">
      <c r="A65" s="32" t="s">
        <v>66</v>
      </c>
      <c r="B65" s="32">
        <v>19.4665005744362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</row>
    <row r="66" spans="1:17" x14ac:dyDescent="0.25">
      <c r="A66" s="32" t="s">
        <v>67</v>
      </c>
      <c r="B66" s="32">
        <v>180.6136363636364</v>
      </c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</row>
    <row r="67" spans="1:17" x14ac:dyDescent="0.25">
      <c r="A67" s="32" t="s">
        <v>68</v>
      </c>
      <c r="B67" s="32">
        <v>254.0293110225777</v>
      </c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</row>
    <row r="68" spans="1:17" x14ac:dyDescent="0.25">
      <c r="A68" s="32" t="s">
        <v>69</v>
      </c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</row>
    <row r="69" spans="1:17" x14ac:dyDescent="0.25">
      <c r="A69" s="32" t="s">
        <v>122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Plan1</vt:lpstr>
      <vt:lpstr>Detected_pores</vt:lpstr>
      <vt:lpstr>Mineral dual thresh</vt:lpstr>
      <vt:lpstr>Plots</vt:lpstr>
      <vt:lpstr>F2829V</vt:lpstr>
      <vt:lpstr>F2830H</vt:lpstr>
      <vt:lpstr>F2852H</vt:lpstr>
      <vt:lpstr>F2854H</vt:lpstr>
      <vt:lpstr>F2859H</vt:lpstr>
      <vt:lpstr>F2880H</vt:lpstr>
      <vt:lpstr>F2910H</vt:lpstr>
      <vt:lpstr>F2911V</vt:lpstr>
      <vt:lpstr>F2935H</vt:lpstr>
      <vt:lpstr>F2870H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Lenep</dc:creator>
  <cp:lastModifiedBy>Irineu</cp:lastModifiedBy>
  <cp:lastPrinted>2024-07-18T14:40:07Z</cp:lastPrinted>
  <dcterms:created xsi:type="dcterms:W3CDTF">2024-04-19T18:14:56Z</dcterms:created>
  <dcterms:modified xsi:type="dcterms:W3CDTF">2025-11-11T19:02:06Z</dcterms:modified>
</cp:coreProperties>
</file>